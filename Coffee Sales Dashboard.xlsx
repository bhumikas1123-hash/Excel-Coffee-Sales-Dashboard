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bhumika singhal\Desktop\"/>
    </mc:Choice>
  </mc:AlternateContent>
  <xr:revisionPtr revIDLastSave="0" documentId="13_ncr:1_{6F88E448-9B8E-4386-955F-652DD8290785}" xr6:coauthVersionLast="47" xr6:coauthVersionMax="47" xr10:uidLastSave="{00000000-0000-0000-0000-000000000000}"/>
  <bookViews>
    <workbookView xWindow="-108" yWindow="-108" windowWidth="23256" windowHeight="12456" tabRatio="679"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G30"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K2" i="17"/>
  <c r="L2" i="17"/>
  <c r="M2" i="17" s="1"/>
  <c r="J2" i="17"/>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3" i="17"/>
  <c r="N3" i="17" s="1"/>
  <c r="I2" i="17"/>
  <c r="N2" i="17" s="1"/>
  <c r="G12" i="17"/>
  <c r="G13" i="17"/>
  <c r="G14" i="17"/>
  <c r="G15" i="17"/>
  <c r="G16" i="17"/>
  <c r="G17" i="17"/>
  <c r="G18" i="17"/>
  <c r="G19" i="17"/>
  <c r="G20" i="17"/>
  <c r="G21" i="17"/>
  <c r="G22" i="17"/>
  <c r="G23" i="17"/>
  <c r="G24" i="17"/>
  <c r="G25" i="17"/>
  <c r="G26" i="17"/>
  <c r="G27" i="17"/>
  <c r="G28" i="17"/>
  <c r="G29"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10" i="17"/>
  <c r="G11" i="17"/>
  <c r="G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<sst xmlns="http://schemas.openxmlformats.org/spreadsheetml/2006/main" count="11128" uniqueCount="6221">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</sst>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45C]#,##0.00"/>
    <numFmt numFmtId="170"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70" fontId="0" fillId="0" borderId="0" xfId="0" applyNumberFormat="1"/>
  </cellXfs>
  <cellStyles count="1">
    <cellStyle name="Normal" xfId="0" builtinId="0"/>
  </cellStyles>
  <dxfs count="18">
    <dxf>
      <font>
        <b/>
        <i val="0"/>
        <sz val="18"/>
        <color rgb="FF421E06"/>
        <name val="Cambria"/>
        <family val="1"/>
        <scheme val="none"/>
      </font>
      <fill>
        <patternFill>
          <bgColor theme="5" tint="0.39994506668294322"/>
        </patternFill>
      </fill>
    </dxf>
    <dxf>
      <font>
        <b val="0"/>
        <i val="0"/>
        <sz val="11"/>
        <color theme="5" tint="0.79998168889431442"/>
        <name val="Californian FB"/>
        <family val="1"/>
        <scheme val="none"/>
      </font>
      <fill>
        <patternFill patternType="solid">
          <fgColor theme="0"/>
          <bgColor rgb="FF833C0C"/>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6"/>
        <color theme="5" tint="0.79998168889431442"/>
        <name val="Cambria"/>
        <family val="1"/>
        <scheme val="none"/>
      </font>
      <fill>
        <patternFill>
          <bgColor rgb="FF4E2306"/>
        </patternFill>
      </fill>
    </dxf>
    <dxf>
      <font>
        <b val="0"/>
        <i val="0"/>
        <sz val="12"/>
        <name val="Cambria"/>
        <family val="1"/>
        <scheme val="none"/>
      </font>
      <fill>
        <patternFill>
          <bgColor rgb="FF833C0C"/>
        </patternFill>
      </fill>
    </dxf>
    <dxf>
      <font>
        <b/>
        <i val="0"/>
        <sz val="16"/>
        <color theme="5" tint="0.79998168889431442"/>
        <name val="Cambria"/>
        <family val="1"/>
        <scheme val="none"/>
      </font>
      <fill>
        <patternFill>
          <bgColor rgb="FF4E2306"/>
        </patternFill>
      </fill>
    </dxf>
    <dxf>
      <font>
        <b val="0"/>
        <i val="0"/>
        <sz val="12"/>
        <name val="Cambria"/>
        <family val="1"/>
        <scheme val="none"/>
      </font>
      <fill>
        <patternFill>
          <bgColor rgb="FF833C0C"/>
        </patternFill>
      </fill>
    </dxf>
    <dxf>
      <numFmt numFmtId="0" formatCode="General"/>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5C]#,##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4" defaultTableStyle="TableStyleMedium2" defaultPivotStyle="PivotStyleMedium9">
    <tableStyle name="Brown coffee slicer" pivot="0" table="0" count="10" xr9:uid="{7ED8BA1E-7006-4E3E-8054-043A34403C08}">
      <tableStyleElement type="wholeTable" dxfId="3"/>
      <tableStyleElement type="headerRow" dxfId="2"/>
    </tableStyle>
    <tableStyle name="Brown coffee slicer 2" pivot="0" table="0" count="10" xr9:uid="{E3979A52-D1CB-4BF1-9194-90A67D670077}">
      <tableStyleElement type="wholeTable" dxfId="5"/>
      <tableStyleElement type="headerRow" dxfId="4"/>
    </tableStyle>
    <tableStyle name="brown coffee style" pivot="0" table="0" count="9" xr9:uid="{427EB73D-C69A-4C62-9E70-66BD799FDBE0}">
      <tableStyleElement type="wholeTable" dxfId="1"/>
      <tableStyleElement type="headerRow" dxfId="0"/>
    </tableStyle>
    <tableStyle name="brown slicer" pivot="0" table="0" count="0" xr9:uid="{DF11ED4F-92E7-434E-8162-25675FE4AB18}"/>
  </tableStyles>
  <colors>
    <mruColors>
      <color rgb="FF4E2306"/>
      <color rgb="FF271203"/>
      <color rgb="FF70330A"/>
      <color rgb="FFEB701D"/>
      <color rgb="FFEE8640"/>
      <color rgb="FFB05110"/>
      <color rgb="FF64360C"/>
      <color rgb="FF67380D"/>
      <color rgb="FF924F12"/>
      <color rgb="FF442508"/>
    </mruColors>
  </colors>
  <extLst>
    <ext xmlns:x14="http://schemas.microsoft.com/office/spreadsheetml/2009/9/main" uri="{46F421CA-312F-682f-3DD2-61675219B42D}">
      <x14:dxfs count="16">
        <dxf>
          <font>
            <b/>
            <i val="0"/>
            <sz val="14"/>
            <color rgb="FF4E2306"/>
            <name val="Cambria"/>
            <family val="1"/>
            <scheme val="none"/>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rgb="FF4E2306"/>
            <name val="Cambria"/>
            <family val="1"/>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rgb="FF4E2306"/>
            <name val="Cambria"/>
            <family val="1"/>
            <scheme val="none"/>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1"/>
            <color rgb="FF4E2306"/>
            <name val="Cambria"/>
            <family val="1"/>
          </font>
          <fill>
            <patternFill>
              <bgColor theme="5" tint="0.59996337778862885"/>
            </patternFill>
          </fill>
        </dxf>
        <dxf>
          <font>
            <b/>
            <i val="0"/>
            <sz val="14"/>
            <color rgb="FF4E2306"/>
            <name val="Cambria"/>
            <family val="1"/>
            <scheme val="none"/>
          </font>
          <fill>
            <patternFill patternType="solid">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rgb="FF4E2306"/>
            <name val="Cambria"/>
            <family val="1"/>
          </font>
          <fill>
            <patternFill patternType="solid">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val="0"/>
            <i val="0"/>
            <strike/>
            <sz val="14"/>
            <color theme="5" tint="0.79998168889431442"/>
            <name val="Cambria"/>
            <family val="1"/>
          </font>
          <fill>
            <patternFill>
              <bgColor theme="5" tint="-0.499984740745262"/>
            </patternFill>
          </fill>
          <border>
            <left style="thin">
              <color theme="5" tint="0.59996337778862885"/>
            </left>
            <right style="thin">
              <color theme="5" tint="0.59996337778862885"/>
            </right>
            <top style="thin">
              <color theme="5" tint="0.59996337778862885"/>
            </top>
            <bottom style="thin">
              <color theme="5" tint="0.59996337778862885"/>
            </bottom>
          </border>
        </dxf>
        <dxf>
          <font>
            <b val="0"/>
            <i val="0"/>
            <strike/>
            <sz val="14"/>
            <color theme="5" tint="0.79998168889431442"/>
            <name val="Cambria"/>
            <family val="1"/>
          </font>
          <fill>
            <patternFill>
              <bgColor theme="5" tint="-0.499984740745262"/>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theme="5" tint="0.79998168889431442"/>
            <name val="Cambria"/>
            <family val="1"/>
            <scheme val="none"/>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rgb="FF4E2306"/>
            <name val="Cambria"/>
            <family val="1"/>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theme="5" tint="0.79998168889431442"/>
            <name val="Cambria"/>
            <family val="1"/>
            <scheme val="none"/>
          </font>
          <fill>
            <patternFill>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1"/>
            <color theme="5" tint="-0.499984740745262"/>
            <name val="Cambria"/>
            <family val="1"/>
          </font>
          <fill>
            <patternFill>
              <bgColor theme="5" tint="0.59996337778862885"/>
            </patternFill>
          </fill>
        </dxf>
        <dxf>
          <font>
            <b/>
            <i val="0"/>
            <sz val="14"/>
            <color theme="5" tint="0.79998168889431442"/>
            <name val="Cambria"/>
            <family val="1"/>
            <scheme val="none"/>
          </font>
          <fill>
            <patternFill patternType="solid">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i val="0"/>
            <sz val="14"/>
            <color rgb="FF4E2306"/>
            <name val="Cambria"/>
            <family val="1"/>
          </font>
          <fill>
            <patternFill patternType="solid">
              <bgColor theme="5" tint="0.59996337778862885"/>
            </patternFill>
          </fill>
          <border>
            <left style="thin">
              <color theme="5" tint="0.59996337778862885"/>
            </left>
            <right style="thin">
              <color theme="5" tint="0.59996337778862885"/>
            </right>
            <top style="thin">
              <color theme="5" tint="0.59996337778862885"/>
            </top>
            <bottom style="thin">
              <color theme="5" tint="0.59996337778862885"/>
            </bottom>
          </border>
        </dxf>
        <dxf>
          <font>
            <b val="0"/>
            <i val="0"/>
            <strike/>
            <sz val="14"/>
            <color theme="5" tint="0.79998168889431442"/>
            <name val="Cambria"/>
            <family val="1"/>
          </font>
          <fill>
            <patternFill>
              <bgColor theme="5" tint="-0.499984740745262"/>
            </patternFill>
          </fill>
          <border>
            <left style="thin">
              <color theme="5" tint="0.59996337778862885"/>
            </left>
            <right style="thin">
              <color theme="5" tint="0.59996337778862885"/>
            </right>
            <top style="thin">
              <color theme="5" tint="0.59996337778862885"/>
            </top>
            <bottom style="thin">
              <color theme="5" tint="0.59996337778862885"/>
            </bottom>
          </border>
        </dxf>
        <dxf>
          <font>
            <b val="0"/>
            <i val="0"/>
            <strike/>
            <sz val="14"/>
            <color theme="5" tint="0.79998168889431442"/>
            <name val="Cambria"/>
            <family val="1"/>
          </font>
          <fill>
            <patternFill>
              <bgColor theme="5" tint="-0.499984740745262"/>
            </patternFill>
          </fill>
          <border>
            <left style="thin">
              <color theme="5" tint="0.59996337778862885"/>
            </left>
            <right style="thin">
              <color theme="5" tint="0.59996337778862885"/>
            </right>
            <top style="thin">
              <color theme="5" tint="0.59996337778862885"/>
            </top>
            <bottom style="thin">
              <color theme="5" tint="0.59996337778862885"/>
            </bottom>
          </border>
        </dxf>
      </x14:dxfs>
    </ext>
    <ext xmlns:x14="http://schemas.microsoft.com/office/spreadsheetml/2009/9/main" uri="{EB79DEF2-80B8-43e5-95BD-54CBDDF9020C}">
      <x14:slicerStyles defaultSlicerStyle="SlicerStyleLight1">
        <x14:slicerStyle name="Brown coffe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rown coffee 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rown slicer"/>
      </x14:slicerStyles>
    </ext>
    <ext xmlns:x15="http://schemas.microsoft.com/office/spreadsheetml/2010/11/main" uri="{A0A4C193-F2C1-4fcb-8827-314CF55A85BB}">
      <x15:dxfs count="7">
        <dxf>
          <fill>
            <patternFill>
              <bgColor theme="5" tint="-0.24994659260841701"/>
            </patternFill>
          </fill>
        </dxf>
        <dxf>
          <fill>
            <patternFill patternType="solid">
              <fgColor theme="0" tint="-0.14990691854609822"/>
              <bgColor theme="5" tint="0.59996337778862885"/>
            </patternFill>
          </fill>
        </dxf>
        <dxf>
          <fill>
            <patternFill patternType="solid">
              <fgColor theme="0"/>
              <bgColor theme="5" tint="-0.24994659260841701"/>
            </patternFill>
          </fill>
        </dxf>
        <dxf>
          <font>
            <b val="0"/>
            <i val="0"/>
            <sz val="16"/>
            <color theme="5" tint="0.79998168889431442"/>
            <name val="Cambria"/>
            <family val="1"/>
            <scheme val="none"/>
          </font>
        </dxf>
        <dxf>
          <font>
            <b val="0"/>
            <i val="0"/>
            <sz val="18"/>
            <color theme="5" tint="0.79998168889431442"/>
            <name val="Cambria"/>
            <family val="1"/>
            <scheme val="none"/>
          </font>
        </dxf>
        <dxf>
          <font>
            <b val="0"/>
            <i val="0"/>
            <sz val="18"/>
            <color theme="5" tint="0.79998168889431442"/>
            <name val="Cambria"/>
            <family val="1"/>
            <scheme val="none"/>
          </font>
        </dxf>
        <dxf>
          <font>
            <b val="0"/>
            <i val="0"/>
            <sz val="16"/>
            <color theme="5" tint="0.79998168889431442"/>
            <name val="Cambria"/>
            <family val="1"/>
            <scheme val="none"/>
          </font>
        </dxf>
      </x15:dxfs>
    </ext>
    <ext xmlns:x15="http://schemas.microsoft.com/office/spreadsheetml/2010/11/main" uri="{9260A510-F301-46a8-8635-F512D64BE5F5}">
      <x15:timelineStyles defaultTimelineStyle="TimeSlicerStyleLight1">
        <x15:timelineStyle name="brown coffe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34"/>
  </c:pivotSource>
  <c:chart>
    <c:title>
      <c:tx>
        <c:rich>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r>
              <a:rPr lang="en-US"/>
              <a:t>Total Sales Over Time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2"/>
          </a:solidFill>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206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B1A-4257-AB9D-2E037E787A4B}"/>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B1A-4257-AB9D-2E037E787A4B}"/>
            </c:ext>
          </c:extLst>
        </c:ser>
        <c:ser>
          <c:idx val="2"/>
          <c:order val="2"/>
          <c:tx>
            <c:strRef>
              <c:f>TotalSales!$E$3:$E$4</c:f>
              <c:strCache>
                <c:ptCount val="1"/>
                <c:pt idx="0">
                  <c:v>Liberica</c:v>
                </c:pt>
              </c:strCache>
            </c:strRef>
          </c:tx>
          <c:spPr>
            <a:ln w="28575" cap="rnd">
              <a:solidFill>
                <a:schemeClr val="accent4">
                  <a:lumMod val="40000"/>
                  <a:lumOff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8B1A-4257-AB9D-2E037E787A4B}"/>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8B1A-4257-AB9D-2E037E787A4B}"/>
            </c:ext>
          </c:extLst>
        </c:ser>
        <c:dLbls>
          <c:showLegendKey val="0"/>
          <c:showVal val="0"/>
          <c:showCatName val="0"/>
          <c:showSerName val="0"/>
          <c:showPercent val="0"/>
          <c:showBubbleSize val="0"/>
        </c:dLbls>
        <c:smooth val="0"/>
        <c:axId val="694256399"/>
        <c:axId val="694257839"/>
      </c:lineChart>
      <c:catAx>
        <c:axId val="6942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694257839"/>
        <c:crosses val="autoZero"/>
        <c:auto val="1"/>
        <c:lblAlgn val="ctr"/>
        <c:lblOffset val="100"/>
        <c:noMultiLvlLbl val="0"/>
      </c:catAx>
      <c:valAx>
        <c:axId val="694257839"/>
        <c:scaling>
          <c:orientation val="minMax"/>
        </c:scaling>
        <c:delete val="0"/>
        <c:axPos val="l"/>
        <c:majorGridlines>
          <c:spPr>
            <a:ln w="9525" cap="flat" cmpd="sng" algn="ctr">
              <a:solidFill>
                <a:schemeClr val="accent2">
                  <a:lumMod val="50000"/>
                  <a:alpha val="36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r>
                  <a:rPr lang="en-US"/>
                  <a:t>USD</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694256399"/>
        <c:crosses val="autoZero"/>
        <c:crossBetween val="between"/>
      </c:valAx>
      <c:spPr>
        <a:solidFill>
          <a:schemeClr val="accent2">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sz="1600">
          <a:solidFill>
            <a:schemeClr val="accent2">
              <a:lumMod val="50000"/>
            </a:schemeClr>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42"/>
  </c:pivotSource>
  <c:chart>
    <c:title>
      <c:tx>
        <c:rich>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r>
              <a:rPr lang="en-US"/>
              <a:t>Sales By Country</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2">
              <a:lumMod val="75000"/>
            </a:schemeClr>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2306"/>
          </a:solidFill>
          <a:ln w="19050">
            <a:solidFill>
              <a:schemeClr val="accent2">
                <a:lumMod val="20000"/>
                <a:lumOff val="80000"/>
              </a:schemeClr>
            </a:solidFill>
          </a:ln>
          <a:effectLst/>
        </c:spPr>
      </c:pivotFmt>
      <c:pivotFmt>
        <c:idx val="2"/>
        <c:spPr>
          <a:solidFill>
            <a:srgbClr val="B05110"/>
          </a:solidFill>
          <a:ln w="19050">
            <a:solidFill>
              <a:schemeClr val="accent2">
                <a:lumMod val="20000"/>
                <a:lumOff val="80000"/>
              </a:schemeClr>
            </a:solidFill>
          </a:ln>
          <a:effectLst/>
        </c:spPr>
      </c:pivotFmt>
      <c:pivotFmt>
        <c:idx val="3"/>
        <c:spPr>
          <a:solidFill>
            <a:srgbClr val="EB701D"/>
          </a:solidFill>
          <a:ln w="19050">
            <a:solidFill>
              <a:schemeClr val="accent2">
                <a:lumMod val="20000"/>
                <a:lumOff val="80000"/>
              </a:schemeClr>
            </a:solidFill>
          </a:ln>
          <a:effectLst/>
        </c:spPr>
      </c:pivotFmt>
      <c:pivotFmt>
        <c:idx val="4"/>
        <c:spPr>
          <a:solidFill>
            <a:schemeClr val="accent2">
              <a:lumMod val="75000"/>
            </a:schemeClr>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B701D"/>
          </a:solidFill>
          <a:ln w="19050">
            <a:solidFill>
              <a:schemeClr val="accent2">
                <a:lumMod val="20000"/>
                <a:lumOff val="80000"/>
              </a:schemeClr>
            </a:solidFill>
          </a:ln>
          <a:effectLst/>
        </c:spPr>
      </c:pivotFmt>
      <c:pivotFmt>
        <c:idx val="6"/>
        <c:spPr>
          <a:solidFill>
            <a:srgbClr val="B05110"/>
          </a:solidFill>
          <a:ln w="19050">
            <a:solidFill>
              <a:schemeClr val="accent2">
                <a:lumMod val="20000"/>
                <a:lumOff val="80000"/>
              </a:schemeClr>
            </a:solidFill>
          </a:ln>
          <a:effectLst/>
        </c:spPr>
      </c:pivotFmt>
      <c:pivotFmt>
        <c:idx val="7"/>
        <c:spPr>
          <a:solidFill>
            <a:srgbClr val="4E2306"/>
          </a:solidFill>
          <a:ln w="19050">
            <a:solidFill>
              <a:schemeClr val="accent2">
                <a:lumMod val="20000"/>
                <a:lumOff val="80000"/>
              </a:schemeClr>
            </a:solidFill>
          </a:ln>
          <a:effectLst/>
        </c:spPr>
      </c:pivotFmt>
      <c:pivotFmt>
        <c:idx val="8"/>
        <c:spPr>
          <a:solidFill>
            <a:schemeClr val="accent2">
              <a:lumMod val="75000"/>
            </a:schemeClr>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B701D"/>
          </a:solidFill>
          <a:ln w="19050">
            <a:solidFill>
              <a:schemeClr val="accent2">
                <a:lumMod val="20000"/>
                <a:lumOff val="80000"/>
              </a:schemeClr>
            </a:solidFill>
          </a:ln>
          <a:effectLst/>
        </c:spPr>
      </c:pivotFmt>
      <c:pivotFmt>
        <c:idx val="10"/>
        <c:spPr>
          <a:solidFill>
            <a:srgbClr val="B05110"/>
          </a:solidFill>
          <a:ln w="19050">
            <a:solidFill>
              <a:schemeClr val="accent2">
                <a:lumMod val="20000"/>
                <a:lumOff val="80000"/>
              </a:schemeClr>
            </a:solidFill>
          </a:ln>
          <a:effectLst/>
        </c:spPr>
      </c:pivotFmt>
      <c:pivotFmt>
        <c:idx val="11"/>
        <c:spPr>
          <a:solidFill>
            <a:srgbClr val="4E2306"/>
          </a:solidFill>
          <a:ln w="19050">
            <a:solidFill>
              <a:schemeClr val="accent2">
                <a:lumMod val="20000"/>
                <a:lumOff val="80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w="19050">
              <a:solidFill>
                <a:schemeClr val="accent2">
                  <a:lumMod val="20000"/>
                  <a:lumOff val="80000"/>
                </a:schemeClr>
              </a:solidFill>
            </a:ln>
            <a:effectLst/>
          </c:spPr>
          <c:invertIfNegative val="0"/>
          <c:dPt>
            <c:idx val="0"/>
            <c:invertIfNegative val="0"/>
            <c:bubble3D val="0"/>
            <c:spPr>
              <a:solidFill>
                <a:srgbClr val="EB701D"/>
              </a:solidFill>
              <a:ln w="19050">
                <a:solidFill>
                  <a:schemeClr val="accent2">
                    <a:lumMod val="20000"/>
                    <a:lumOff val="80000"/>
                  </a:schemeClr>
                </a:solidFill>
              </a:ln>
              <a:effectLst/>
            </c:spPr>
            <c:extLst>
              <c:ext xmlns:c16="http://schemas.microsoft.com/office/drawing/2014/chart" uri="{C3380CC4-5D6E-409C-BE32-E72D297353CC}">
                <c16:uniqueId val="{00000001-5956-479F-8867-A65FCE108464}"/>
              </c:ext>
            </c:extLst>
          </c:dPt>
          <c:dPt>
            <c:idx val="1"/>
            <c:invertIfNegative val="0"/>
            <c:bubble3D val="0"/>
            <c:spPr>
              <a:solidFill>
                <a:srgbClr val="B05110"/>
              </a:solidFill>
              <a:ln w="19050">
                <a:solidFill>
                  <a:schemeClr val="accent2">
                    <a:lumMod val="20000"/>
                    <a:lumOff val="80000"/>
                  </a:schemeClr>
                </a:solidFill>
              </a:ln>
              <a:effectLst/>
            </c:spPr>
            <c:extLst>
              <c:ext xmlns:c16="http://schemas.microsoft.com/office/drawing/2014/chart" uri="{C3380CC4-5D6E-409C-BE32-E72D297353CC}">
                <c16:uniqueId val="{00000003-5956-479F-8867-A65FCE108464}"/>
              </c:ext>
            </c:extLst>
          </c:dPt>
          <c:dPt>
            <c:idx val="2"/>
            <c:invertIfNegative val="0"/>
            <c:bubble3D val="0"/>
            <c:spPr>
              <a:solidFill>
                <a:srgbClr val="4E2306"/>
              </a:solidFill>
              <a:ln w="19050">
                <a:solidFill>
                  <a:schemeClr val="accent2">
                    <a:lumMod val="20000"/>
                    <a:lumOff val="80000"/>
                  </a:schemeClr>
                </a:solidFill>
              </a:ln>
              <a:effectLst/>
            </c:spPr>
            <c:extLst>
              <c:ext xmlns:c16="http://schemas.microsoft.com/office/drawing/2014/chart" uri="{C3380CC4-5D6E-409C-BE32-E72D297353CC}">
                <c16:uniqueId val="{00000005-5956-479F-8867-A65FCE108464}"/>
              </c:ext>
            </c:extLst>
          </c:dPt>
          <c:dLbls>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956-479F-8867-A65FCE108464}"/>
            </c:ext>
          </c:extLst>
        </c:ser>
        <c:dLbls>
          <c:dLblPos val="outEnd"/>
          <c:showLegendKey val="0"/>
          <c:showVal val="1"/>
          <c:showCatName val="0"/>
          <c:showSerName val="0"/>
          <c:showPercent val="0"/>
          <c:showBubbleSize val="0"/>
        </c:dLbls>
        <c:gapWidth val="182"/>
        <c:axId val="987794768"/>
        <c:axId val="987781328"/>
      </c:barChart>
      <c:catAx>
        <c:axId val="98779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987781328"/>
        <c:crosses val="autoZero"/>
        <c:auto val="1"/>
        <c:lblAlgn val="ctr"/>
        <c:lblOffset val="100"/>
        <c:noMultiLvlLbl val="0"/>
      </c:catAx>
      <c:valAx>
        <c:axId val="987781328"/>
        <c:scaling>
          <c:orientation val="minMax"/>
        </c:scaling>
        <c:delete val="0"/>
        <c:axPos val="b"/>
        <c:majorGridlines>
          <c:spPr>
            <a:ln w="9525" cap="flat" cmpd="sng" algn="ctr">
              <a:solidFill>
                <a:schemeClr val="accent2">
                  <a:lumMod val="50000"/>
                  <a:alpha val="44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98779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98000"/>
      </a:schemeClr>
    </a:solidFill>
    <a:ln w="9525" cap="flat" cmpd="sng" algn="ctr">
      <a:solidFill>
        <a:schemeClr val="tx1">
          <a:lumMod val="15000"/>
          <a:lumOff val="85000"/>
        </a:schemeClr>
      </a:solidFill>
      <a:round/>
    </a:ln>
    <a:effectLst/>
  </c:spPr>
  <c:txPr>
    <a:bodyPr/>
    <a:lstStyle/>
    <a:p>
      <a:pPr>
        <a:defRPr sz="1600">
          <a:solidFill>
            <a:schemeClr val="accent2">
              <a:lumMod val="50000"/>
            </a:schemeClr>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43"/>
  </c:pivotSource>
  <c:chart>
    <c:title>
      <c:tx>
        <c:rich>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r>
              <a:rPr lang="en-US"/>
              <a:t>Top 5 Customers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2">
              <a:lumMod val="75000"/>
            </a:schemeClr>
          </a:solidFill>
          <a:ln w="19050">
            <a:solidFill>
              <a:schemeClr val="accent2">
                <a:lumMod val="20000"/>
                <a:lumOff val="80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
      </c:pivotFmt>
      <c:pivotFmt>
        <c:idx val="1"/>
        <c:spPr>
          <a:solidFill>
            <a:srgbClr val="4E2306"/>
          </a:solidFill>
          <a:ln w="19050">
            <a:solidFill>
              <a:schemeClr val="accent2">
                <a:lumMod val="20000"/>
                <a:lumOff val="80000"/>
              </a:schemeClr>
            </a:solidFill>
          </a:ln>
          <a:effectLst/>
        </c:spPr>
      </c:pivotFmt>
      <c:pivotFmt>
        <c:idx val="2"/>
        <c:spPr>
          <a:solidFill>
            <a:srgbClr val="B05110"/>
          </a:solidFill>
          <a:ln w="19050">
            <a:solidFill>
              <a:schemeClr val="accent2">
                <a:lumMod val="20000"/>
                <a:lumOff val="80000"/>
              </a:schemeClr>
            </a:solidFill>
          </a:ln>
          <a:effectLst/>
        </c:spPr>
      </c:pivotFmt>
      <c:pivotFmt>
        <c:idx val="3"/>
        <c:spPr>
          <a:solidFill>
            <a:srgbClr val="EB701D"/>
          </a:solidFill>
          <a:ln w="19050">
            <a:solidFill>
              <a:schemeClr val="accent2">
                <a:lumMod val="20000"/>
                <a:lumOff val="80000"/>
              </a:schemeClr>
            </a:solidFill>
          </a:ln>
          <a:effectLst/>
        </c:spPr>
      </c:pivotFmt>
      <c:pivotFmt>
        <c:idx val="4"/>
        <c:spPr>
          <a:solidFill>
            <a:srgbClr val="70330A"/>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B701D"/>
          </a:solidFill>
          <a:ln w="19050">
            <a:solidFill>
              <a:schemeClr val="accent2">
                <a:lumMod val="20000"/>
                <a:lumOff val="80000"/>
              </a:schemeClr>
            </a:solidFill>
          </a:ln>
          <a:effectLst/>
        </c:spPr>
      </c:pivotFmt>
      <c:pivotFmt>
        <c:idx val="6"/>
        <c:spPr>
          <a:solidFill>
            <a:srgbClr val="B05110"/>
          </a:solidFill>
          <a:ln w="19050">
            <a:solidFill>
              <a:schemeClr val="accent2">
                <a:lumMod val="20000"/>
                <a:lumOff val="80000"/>
              </a:schemeClr>
            </a:solidFill>
          </a:ln>
          <a:effectLst/>
        </c:spPr>
      </c:pivotFmt>
      <c:pivotFmt>
        <c:idx val="7"/>
        <c:spPr>
          <a:solidFill>
            <a:srgbClr val="4E2306"/>
          </a:solidFill>
          <a:ln w="19050">
            <a:solidFill>
              <a:schemeClr val="accent2">
                <a:lumMod val="20000"/>
                <a:lumOff val="80000"/>
              </a:schemeClr>
            </a:solidFill>
          </a:ln>
          <a:effectLst/>
        </c:spPr>
      </c:pivotFmt>
      <c:pivotFmt>
        <c:idx val="8"/>
        <c:spPr>
          <a:solidFill>
            <a:srgbClr val="70330A"/>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30A"/>
          </a:solidFill>
          <a:ln w="19050">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70330A"/>
            </a:solidFill>
            <a:ln w="19050">
              <a:solidFill>
                <a:schemeClr val="accent2">
                  <a:lumMod val="20000"/>
                  <a:lumOff val="80000"/>
                </a:schemeClr>
              </a:solidFill>
            </a:ln>
            <a:effectLst/>
          </c:spPr>
          <c:invertIfNegative val="0"/>
          <c:dPt>
            <c:idx val="0"/>
            <c:invertIfNegative val="0"/>
            <c:bubble3D val="0"/>
            <c:extLst>
              <c:ext xmlns:c16="http://schemas.microsoft.com/office/drawing/2014/chart" uri="{C3380CC4-5D6E-409C-BE32-E72D297353CC}">
                <c16:uniqueId val="{00000000-92ED-4ECB-B2CA-1C2F0DA3C430}"/>
              </c:ext>
            </c:extLst>
          </c:dPt>
          <c:dPt>
            <c:idx val="1"/>
            <c:invertIfNegative val="0"/>
            <c:bubble3D val="0"/>
            <c:extLst>
              <c:ext xmlns:c16="http://schemas.microsoft.com/office/drawing/2014/chart" uri="{C3380CC4-5D6E-409C-BE32-E72D297353CC}">
                <c16:uniqueId val="{00000001-92ED-4ECB-B2CA-1C2F0DA3C430}"/>
              </c:ext>
            </c:extLst>
          </c:dPt>
          <c:dPt>
            <c:idx val="2"/>
            <c:invertIfNegative val="0"/>
            <c:bubble3D val="0"/>
            <c:extLst>
              <c:ext xmlns:c16="http://schemas.microsoft.com/office/drawing/2014/chart" uri="{C3380CC4-5D6E-409C-BE32-E72D297353CC}">
                <c16:uniqueId val="{00000002-92ED-4ECB-B2CA-1C2F0DA3C430}"/>
              </c:ext>
            </c:extLst>
          </c:dPt>
          <c:dLbls>
            <c:spPr>
              <a:noFill/>
              <a:ln>
                <a:noFill/>
              </a:ln>
              <a:effectLst/>
            </c:spPr>
            <c:txPr>
              <a:bodyPr rot="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2ED-4ECB-B2CA-1C2F0DA3C430}"/>
            </c:ext>
          </c:extLst>
        </c:ser>
        <c:dLbls>
          <c:dLblPos val="outEnd"/>
          <c:showLegendKey val="0"/>
          <c:showVal val="1"/>
          <c:showCatName val="0"/>
          <c:showSerName val="0"/>
          <c:showPercent val="0"/>
          <c:showBubbleSize val="0"/>
        </c:dLbls>
        <c:gapWidth val="182"/>
        <c:axId val="987794768"/>
        <c:axId val="987781328"/>
      </c:barChart>
      <c:catAx>
        <c:axId val="98779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987781328"/>
        <c:crosses val="autoZero"/>
        <c:auto val="1"/>
        <c:lblAlgn val="ctr"/>
        <c:lblOffset val="100"/>
        <c:noMultiLvlLbl val="0"/>
      </c:catAx>
      <c:valAx>
        <c:axId val="987781328"/>
        <c:scaling>
          <c:orientation val="minMax"/>
        </c:scaling>
        <c:delete val="0"/>
        <c:axPos val="b"/>
        <c:majorGridlines>
          <c:spPr>
            <a:ln w="9525" cap="flat" cmpd="sng" algn="ctr">
              <a:solidFill>
                <a:schemeClr val="accent2">
                  <a:lumMod val="50000"/>
                  <a:alpha val="44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accent2">
                    <a:lumMod val="50000"/>
                  </a:schemeClr>
                </a:solidFill>
                <a:latin typeface="Cambria" panose="02040503050406030204" pitchFamily="18" charset="0"/>
                <a:ea typeface="Cambria" panose="02040503050406030204" pitchFamily="18" charset="0"/>
                <a:cs typeface="+mn-cs"/>
              </a:defRPr>
            </a:pPr>
            <a:endParaRPr lang="en-US"/>
          </a:p>
        </c:txPr>
        <c:crossAx val="98779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alpha val="98000"/>
      </a:schemeClr>
    </a:solidFill>
    <a:ln w="9525" cap="flat" cmpd="sng" algn="ctr">
      <a:solidFill>
        <a:schemeClr val="tx1">
          <a:lumMod val="15000"/>
          <a:lumOff val="85000"/>
        </a:schemeClr>
      </a:solidFill>
      <a:round/>
    </a:ln>
    <a:effectLst/>
  </c:spPr>
  <c:txPr>
    <a:bodyPr/>
    <a:lstStyle/>
    <a:p>
      <a:pPr>
        <a:defRPr sz="1600">
          <a:solidFill>
            <a:schemeClr val="accent2">
              <a:lumMod val="50000"/>
            </a:schemeClr>
          </a:solidFill>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111760</xdr:colOff>
      <xdr:row>1</xdr:row>
      <xdr:rowOff>9525</xdr:rowOff>
    </xdr:from>
    <xdr:to>
      <xdr:col>31</xdr:col>
      <xdr:colOff>599440</xdr:colOff>
      <xdr:row>5</xdr:row>
      <xdr:rowOff>57150</xdr:rowOff>
    </xdr:to>
    <xdr:sp macro="" textlink="">
      <xdr:nvSpPr>
        <xdr:cNvPr id="3" name="Rectangle 2">
          <a:extLst>
            <a:ext uri="{FF2B5EF4-FFF2-40B4-BE49-F238E27FC236}">
              <a16:creationId xmlns:a16="http://schemas.microsoft.com/office/drawing/2014/main" id="{383BCDC3-3670-28C5-7FA8-0278D9BF405A}"/>
            </a:ext>
          </a:extLst>
        </xdr:cNvPr>
        <xdr:cNvSpPr/>
      </xdr:nvSpPr>
      <xdr:spPr>
        <a:xfrm>
          <a:off x="111760" y="70485"/>
          <a:ext cx="18897600" cy="779145"/>
        </a:xfrm>
        <a:prstGeom prst="rect">
          <a:avLst/>
        </a:prstGeom>
        <a:solidFill>
          <a:srgbClr val="4E230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accent2">
                  <a:lumMod val="20000"/>
                  <a:lumOff val="80000"/>
                </a:schemeClr>
              </a:solidFill>
              <a:latin typeface="Cambria" panose="02040503050406030204" pitchFamily="18" charset="0"/>
              <a:ea typeface="Cambria" panose="02040503050406030204" pitchFamily="18" charset="0"/>
            </a:rPr>
            <a:t>COFFEE SALES DASHBOARD</a:t>
          </a:r>
        </a:p>
      </xdr:txBody>
    </xdr:sp>
    <xdr:clientData/>
  </xdr:twoCellAnchor>
  <xdr:twoCellAnchor editAs="oneCell">
    <xdr:from>
      <xdr:col>0</xdr:col>
      <xdr:colOff>112905</xdr:colOff>
      <xdr:row>5</xdr:row>
      <xdr:rowOff>105998</xdr:rowOff>
    </xdr:from>
    <xdr:to>
      <xdr:col>18</xdr:col>
      <xdr:colOff>360044</xdr:colOff>
      <xdr:row>15</xdr:row>
      <xdr:rowOff>91440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1DD0EBD-0BAE-4B08-A0C9-18B83398308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2905" y="898478"/>
              <a:ext cx="10732259" cy="18142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426720</xdr:colOff>
      <xdr:row>9</xdr:row>
      <xdr:rowOff>172720</xdr:rowOff>
    </xdr:from>
    <xdr:to>
      <xdr:col>25</xdr:col>
      <xdr:colOff>477520</xdr:colOff>
      <xdr:row>15</xdr:row>
      <xdr:rowOff>91441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CE0850A-FBD8-4CC3-BAFC-CAB54B7DB27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911840" y="1696720"/>
              <a:ext cx="4318000" cy="1016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448310</xdr:colOff>
      <xdr:row>5</xdr:row>
      <xdr:rowOff>97790</xdr:rowOff>
    </xdr:from>
    <xdr:to>
      <xdr:col>32</xdr:col>
      <xdr:colOff>10160</xdr:colOff>
      <xdr:row>9</xdr:row>
      <xdr:rowOff>121920</xdr:rowOff>
    </xdr:to>
    <mc:AlternateContent xmlns:mc="http://schemas.openxmlformats.org/markup-compatibility/2006">
      <mc:Choice xmlns:a14="http://schemas.microsoft.com/office/drawing/2010/main" Requires="a14">
        <xdr:graphicFrame macro="">
          <xdr:nvGraphicFramePr>
            <xdr:cNvPr id="6" name="Roast Type Nme">
              <a:extLst>
                <a:ext uri="{FF2B5EF4-FFF2-40B4-BE49-F238E27FC236}">
                  <a16:creationId xmlns:a16="http://schemas.microsoft.com/office/drawing/2014/main" id="{FCBDF305-EFAE-49B9-91D3-5AC4833F6526}"/>
                </a:ext>
              </a:extLst>
            </xdr:cNvPr>
            <xdr:cNvGraphicFramePr/>
          </xdr:nvGraphicFramePr>
          <xdr:xfrm>
            <a:off x="0" y="0"/>
            <a:ext cx="0" cy="0"/>
          </xdr:xfrm>
          <a:graphic>
            <a:graphicData uri="http://schemas.microsoft.com/office/drawing/2010/slicer">
              <sle:slicer xmlns:sle="http://schemas.microsoft.com/office/drawing/2010/slicer" name="Roast Type Nme"/>
            </a:graphicData>
          </a:graphic>
        </xdr:graphicFrame>
      </mc:Choice>
      <mc:Fallback>
        <xdr:sp macro="" textlink="">
          <xdr:nvSpPr>
            <xdr:cNvPr id="0" name=""/>
            <xdr:cNvSpPr>
              <a:spLocks noTextEdit="1"/>
            </xdr:cNvSpPr>
          </xdr:nvSpPr>
          <xdr:spPr>
            <a:xfrm>
              <a:off x="10933430" y="890270"/>
              <a:ext cx="8096250" cy="75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538984</xdr:colOff>
      <xdr:row>10</xdr:row>
      <xdr:rowOff>1</xdr:rowOff>
    </xdr:from>
    <xdr:to>
      <xdr:col>32</xdr:col>
      <xdr:colOff>10160</xdr:colOff>
      <xdr:row>15</xdr:row>
      <xdr:rowOff>95051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B65E09DF-1ACE-429D-822C-906D48B4E2B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291304" y="1706881"/>
              <a:ext cx="3738376" cy="100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107218</xdr:colOff>
      <xdr:row>15</xdr:row>
      <xdr:rowOff>152400</xdr:rowOff>
    </xdr:from>
    <xdr:to>
      <xdr:col>16</xdr:col>
      <xdr:colOff>426720</xdr:colOff>
      <xdr:row>41</xdr:row>
      <xdr:rowOff>71120</xdr:rowOff>
    </xdr:to>
    <xdr:graphicFrame macro="">
      <xdr:nvGraphicFramePr>
        <xdr:cNvPr id="8" name="Chart 7">
          <a:extLst>
            <a:ext uri="{FF2B5EF4-FFF2-40B4-BE49-F238E27FC236}">
              <a16:creationId xmlns:a16="http://schemas.microsoft.com/office/drawing/2014/main" id="{7F432F0D-E69D-4B36-8508-7B6E6173A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508618</xdr:colOff>
      <xdr:row>15</xdr:row>
      <xdr:rowOff>152400</xdr:rowOff>
    </xdr:from>
    <xdr:to>
      <xdr:col>32</xdr:col>
      <xdr:colOff>20320</xdr:colOff>
      <xdr:row>26</xdr:row>
      <xdr:rowOff>162560</xdr:rowOff>
    </xdr:to>
    <xdr:graphicFrame macro="">
      <xdr:nvGraphicFramePr>
        <xdr:cNvPr id="9" name="Chart 8">
          <a:extLst>
            <a:ext uri="{FF2B5EF4-FFF2-40B4-BE49-F238E27FC236}">
              <a16:creationId xmlns:a16="http://schemas.microsoft.com/office/drawing/2014/main" id="{F16662B0-830F-47DE-B395-2AA7B76D3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504008</xdr:colOff>
      <xdr:row>27</xdr:row>
      <xdr:rowOff>40641</xdr:rowOff>
    </xdr:from>
    <xdr:to>
      <xdr:col>32</xdr:col>
      <xdr:colOff>40640</xdr:colOff>
      <xdr:row>41</xdr:row>
      <xdr:rowOff>83459</xdr:rowOff>
    </xdr:to>
    <xdr:graphicFrame macro="">
      <xdr:nvGraphicFramePr>
        <xdr:cNvPr id="10" name="Chart 9">
          <a:extLst>
            <a:ext uri="{FF2B5EF4-FFF2-40B4-BE49-F238E27FC236}">
              <a16:creationId xmlns:a16="http://schemas.microsoft.com/office/drawing/2014/main" id="{63D9A3D9-EA3E-49A0-A0FC-84F7FE995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singhal" refreshedDate="46138.790573842591" createdVersion="8" refreshedVersion="8" minRefreshableVersion="3" recordCount="1000" xr:uid="{51CE42A2-8170-4091-A5EB-E6B83CEEEAEA}">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 Type Name" numFmtId="0">
      <sharedItems count="4">
        <s v="Robusta"/>
        <s v="Excelsa"/>
        <s v="Arabica"/>
        <s v="Liberica"/>
      </sharedItems>
    </cacheField>
    <cacheField name="Roast Type N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33692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6D5CCD-379A-408C-94E6-0437A8D1C6B9}"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5">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2" numFmtId="3"/>
  </dataFields>
  <chartFormats count="4">
    <chartFormat chart="34" format="8" series="1">
      <pivotArea type="data" outline="0" fieldPosition="0">
        <references count="2">
          <reference field="4294967294" count="1" selected="0">
            <x v="0"/>
          </reference>
          <reference field="13" count="1" selected="0">
            <x v="0"/>
          </reference>
        </references>
      </pivotArea>
    </chartFormat>
    <chartFormat chart="34" format="9" series="1">
      <pivotArea type="data" outline="0" fieldPosition="0">
        <references count="2">
          <reference field="4294967294" count="1" selected="0">
            <x v="0"/>
          </reference>
          <reference field="13" count="1" selected="0">
            <x v="1"/>
          </reference>
        </references>
      </pivotArea>
    </chartFormat>
    <chartFormat chart="34" format="10" series="1">
      <pivotArea type="data" outline="0" fieldPosition="0">
        <references count="2">
          <reference field="4294967294" count="1" selected="0">
            <x v="0"/>
          </reference>
          <reference field="13" count="1" selected="0">
            <x v="2"/>
          </reference>
        </references>
      </pivotArea>
    </chartFormat>
    <chartFormat chart="3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35CD3-8EF2-4E85-8A16-77F7BB97F130}"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0"/>
  </dataFields>
  <chartFormats count="4">
    <chartFormat chart="42" format="8" series="1">
      <pivotArea type="data" outline="0" fieldPosition="0">
        <references count="1">
          <reference field="4294967294" count="1" selected="0">
            <x v="0"/>
          </reference>
        </references>
      </pivotArea>
    </chartFormat>
    <chartFormat chart="42" format="9">
      <pivotArea type="data" outline="0" fieldPosition="0">
        <references count="2">
          <reference field="4294967294" count="1" selected="0">
            <x v="0"/>
          </reference>
          <reference field="7" count="1" selected="0">
            <x v="1"/>
          </reference>
        </references>
      </pivotArea>
    </chartFormat>
    <chartFormat chart="42" format="10">
      <pivotArea type="data" outline="0" fieldPosition="0">
        <references count="2">
          <reference field="4294967294" count="1" selected="0">
            <x v="0"/>
          </reference>
          <reference field="7" count="1" selected="0">
            <x v="0"/>
          </reference>
        </references>
      </pivotArea>
    </chartFormat>
    <chartFormat chart="4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5DF1E-D35C-41B8-A36F-1326273A87A7}" name="Total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0"/>
  </dataFields>
  <chartFormats count="3">
    <chartFormat chart="32" format="8"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8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E490339-9817-419E-8599-3AC0EBCD48BF}" sourceName="Size">
  <pivotTables>
    <pivotTable tabId="18" name="TotalSales"/>
  </pivotTables>
  <data>
    <tabular pivotCacheId="5336920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me" xr10:uid="{AF8E9BBB-847B-4A3B-9A14-D04E158C2738}" sourceName="Roast Type Nme">
  <pivotTables>
    <pivotTable tabId="18" name="TotalSales"/>
  </pivotTables>
  <data>
    <tabular pivotCacheId="53369206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132C7D0-98A6-45A0-B59C-6D6A47ACCC42}" sourceName="Loyalty Card">
  <pivotTables>
    <pivotTable tabId="18" name="TotalSales"/>
  </pivotTables>
  <data>
    <tabular pivotCacheId="5336920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EF4D64-7D8A-4A0D-8D93-1C43C98B35DF}" cache="Slicer_Size" caption="Size" columnCount="2" style="Brown coffee slicer" rowHeight="234950"/>
  <slicer name="Roast Type Nme" xr10:uid="{9E97DD68-7A6A-4E0A-B736-6E9A622AE362}" cache="Slicer_Roast_Type_Nme" caption="Roast Type Nme" columnCount="3" style="Brown coffee slicer" rowHeight="234950"/>
  <slicer name="Loyalty Card" xr10:uid="{93C2D0F4-4EDC-49ED-AF37-F48FAFE2D3D0}" cache="Slicer_Loyalty_Card" caption="Loyalty Card" style="Brown coffe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07FF19-D55F-4CC7-BA51-24E5F2FBC2CD}" name="Orders" displayName="Orders" ref="A1:P1001" totalsRowShown="0" headerRowDxfId="10">
  <autoFilter ref="A1:P1001" xr:uid="{9507FF19-D55F-4CC7-BA51-24E5F2FBC2CD}"/>
  <tableColumns count="16">
    <tableColumn id="1" xr3:uid="{5F72D9FE-CF6D-43B8-B084-0DFD813D2F1A}" name="Order ID" dataDxfId="17"/>
    <tableColumn id="2" xr3:uid="{9705F5B5-44F7-485D-A289-8209EA2DA7C6}" name="Order Date" dataDxfId="16"/>
    <tableColumn id="3" xr3:uid="{821B14C0-A115-4089-8148-556A95D241B7}" name="Customer ID" dataDxfId="15"/>
    <tableColumn id="4" xr3:uid="{EB19C66E-2016-4BAA-B41D-ECCEAE0D0B7A}" name="Product ID"/>
    <tableColumn id="5" xr3:uid="{C8359EE9-7D81-4FCF-BBF1-198873A42BF1}" name="Quantity" dataDxfId="14"/>
    <tableColumn id="6" xr3:uid="{86F12115-2FF4-4C00-8E8C-6F3F7969A8C9}" name="Customer Name" dataDxfId="9">
      <calculatedColumnFormula>_xlfn.XLOOKUP(C2,customers!$A$1:$A$1001,customers!$B$1:$B$1001,,0)</calculatedColumnFormula>
    </tableColumn>
    <tableColumn id="7" xr3:uid="{E5DD6596-34B7-40D6-95C6-35E87418C904}" name="Email" dataDxfId="13">
      <calculatedColumnFormula>IF(_xlfn.XLOOKUP(orders!C2,customers!$A$1:$A$1001,customers!$C$1:$C$1001,,0)=0,"",_xlfn.XLOOKUP(orders!C2,customers!$A$1:$A$1001,customers!$C$1:$C$1001,,0))</calculatedColumnFormula>
    </tableColumn>
    <tableColumn id="8" xr3:uid="{02644340-6CD6-426F-9EC6-1DF37DED34EC}" name="Country" dataDxfId="8">
      <calculatedColumnFormula>_xlfn.XLOOKUP(C2,customers!$A$1:$A$1001,customers!$G$1:$G$1001,,0)</calculatedColumnFormula>
    </tableColumn>
    <tableColumn id="9" xr3:uid="{805D4A29-96DA-472E-9D40-51E8F015D363}" name="Coffee Type">
      <calculatedColumnFormula>INDEX(products!$A$1:$G$49,MATCH(orders!$D2,products!$A$1:$A$49,0),MATCH(orders!I$1,products!$A$1:$G$1,0))</calculatedColumnFormula>
    </tableColumn>
    <tableColumn id="10" xr3:uid="{F6AEFD49-BAF1-491E-BD3D-0CCACD88A392}" name="Roast Type">
      <calculatedColumnFormula>INDEX(products!$A$1:$G$49,MATCH(orders!$D2,products!$A$1:$A$49,0),MATCH(orders!J$1,products!$A$1:$G$1,0))</calculatedColumnFormula>
    </tableColumn>
    <tableColumn id="11" xr3:uid="{D454E2BE-643B-4C43-8110-5336E33204C4}" name="Size" dataDxfId="12">
      <calculatedColumnFormula>INDEX(products!$A$1:$G$49,MATCH(orders!$D2,products!$A$1:$A$49,0),MATCH(orders!K$1,products!$A$1:$G$1,0))</calculatedColumnFormula>
    </tableColumn>
    <tableColumn id="12" xr3:uid="{4EC42967-29D6-4B5E-8C81-163EEA5AF554}" name="Unit Price" dataDxfId="11">
      <calculatedColumnFormula>INDEX(products!$A$1:$G$49,MATCH(orders!$D2,products!$A$1:$A$49,0),MATCH(orders!L$1,products!$A$1:$G$1,0))</calculatedColumnFormula>
    </tableColumn>
    <tableColumn id="13" xr3:uid="{00D8517E-CA07-4A65-9195-E1BE9FF1E310}" name="Sales">
      <calculatedColumnFormula>L2*E2</calculatedColumnFormula>
    </tableColumn>
    <tableColumn id="14" xr3:uid="{0DF177F9-900C-401F-9335-949D9D76A9DB}" name="Coffe Type Name">
      <calculatedColumnFormula>IF(I2="Rob","Robusta",IF(I2="Exc","Excelsa",IF(I2="Ara","Arabica",IF(I2="Lib","Liberica",""))))</calculatedColumnFormula>
    </tableColumn>
    <tableColumn id="15" xr3:uid="{05E59A19-E23E-42DA-9500-B9AA211B5786}" name="Roast Type Nme" dataDxfId="6">
      <calculatedColumnFormula>IF(J2="M","Medium",IF(J2="L","Light",IF(J2="D","Dark","")))</calculatedColumnFormula>
    </tableColumn>
    <tableColumn id="16" xr3:uid="{D3E06A8F-DE6D-4A0F-9FF4-91CD535B6C5E}" name="Loyalty Card" dataDxfId="7">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54965F6-7761-4254-B23F-4D11DA1CF4ED}" sourceName="Order Date">
  <pivotTables>
    <pivotTable tabId="18" name="TotalSales"/>
    <pivotTable tabId="19" name="TotalSales"/>
    <pivotTable tabId="20" name="TotalSales"/>
  </pivotTables>
  <state minimalRefreshVersion="6" lastRefreshVersion="6" pivotCacheId="5336920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1F432DB-FD4C-4DB3-9ED4-C4E5B21E3CFE}" cache="NativeTimeline_Order_Date" caption="Order Date" level="0" selectionLevel="0" scrollPosition="2019-01-01T00:00:00" style="brown coffe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27DD-32DD-40BA-9886-1D60B73B1287}">
  <dimension ref="A3:F48"/>
  <sheetViews>
    <sheetView topLeftCell="B1" zoomScale="57" zoomScaleNormal="59" workbookViewId="0">
      <selection activeCell="C15" sqref="C15"/>
    </sheetView>
  </sheetViews>
  <sheetFormatPr defaultRowHeight="14.4" x14ac:dyDescent="0.3"/>
  <cols>
    <col min="1" max="1" width="12.5546875" bestFit="1" customWidth="1"/>
    <col min="2" max="2" width="24.6640625" bestFit="1" customWidth="1"/>
    <col min="3" max="3" width="21.109375" bestFit="1" customWidth="1"/>
    <col min="4" max="6" width="9.1093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468-E409-4610-8F15-D9D7F8D3008F}">
  <dimension ref="A3:B6"/>
  <sheetViews>
    <sheetView topLeftCell="A4" zoomScale="82" zoomScaleNormal="59" workbookViewId="0">
      <selection activeCell="B6" sqref="B6"/>
    </sheetView>
  </sheetViews>
  <sheetFormatPr defaultRowHeight="14.4" x14ac:dyDescent="0.3"/>
  <cols>
    <col min="1" max="1" width="14.5546875" bestFit="1" customWidth="1"/>
    <col min="2" max="2" width="11.6640625" bestFit="1" customWidth="1"/>
    <col min="3" max="3" width="7.5546875" bestFit="1" customWidth="1"/>
    <col min="4" max="4" width="8.109375" bestFit="1" customWidth="1"/>
    <col min="5" max="6" width="8.777343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E534-0E2A-4980-9788-B393E24FFEC8}">
  <dimension ref="A3:B8"/>
  <sheetViews>
    <sheetView topLeftCell="B1" zoomScale="72" zoomScaleNormal="57" workbookViewId="0">
      <selection activeCell="D24" sqref="D24"/>
    </sheetView>
  </sheetViews>
  <sheetFormatPr defaultRowHeight="14.4" x14ac:dyDescent="0.3"/>
  <cols>
    <col min="1" max="1" width="18.21875" bestFit="1" customWidth="1"/>
    <col min="2" max="2" width="11.6640625" bestFit="1" customWidth="1"/>
    <col min="3" max="3" width="7.5546875" bestFit="1" customWidth="1"/>
    <col min="4" max="4" width="8.109375" bestFit="1" customWidth="1"/>
    <col min="5" max="6" width="8.777343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FDC14-4AF3-40EF-858A-E06AF0026CAC}">
  <dimension ref="A1"/>
  <sheetViews>
    <sheetView tabSelected="1" zoomScale="75" zoomScaleNormal="83" workbookViewId="0">
      <selection activeCell="W14" sqref="W14"/>
    </sheetView>
  </sheetViews>
  <sheetFormatPr defaultRowHeight="14.4" x14ac:dyDescent="0.3"/>
  <cols>
    <col min="1" max="1" width="1.77734375" customWidth="1"/>
  </cols>
  <sheetData>
    <row r="1" customFormat="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L1" zoomScale="103" zoomScaleNormal="115" workbookViewId="0">
      <selection activeCell="O3" sqref="O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0.4414062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33203125" bestFit="1" customWidth="1"/>
    <col min="14" max="14" width="17.109375" customWidth="1"/>
    <col min="15" max="15" width="16.21875" customWidth="1"/>
    <col min="16" max="16" width="13.77734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 t="shared" ref="O2:O65" si="0">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f>L3*E3</f>
        <v>41.25</v>
      </c>
      <c r="N3" t="str">
        <f>IF(I3="Rob","Robusta",IF(I3="Exc","Excelsa",IF(I3="Ara","Arabica",IF(I3="Lib","Liberica",""))))</f>
        <v>Excelsa</v>
      </c>
      <c r="O3" t="str">
        <f t="shared" si="0"/>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f>L4*E4</f>
        <v>12.95</v>
      </c>
      <c r="N4" t="str">
        <f>IF(I4="Rob","Robusta",IF(I4="Exc","Excelsa",IF(I4="Ara","Arabica",IF(I4="Lib","Liberica",""))))</f>
        <v>Arabica</v>
      </c>
      <c r="O4" t="str">
        <f t="shared" si="0"/>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f>L5*E5</f>
        <v>27.5</v>
      </c>
      <c r="N5" t="str">
        <f>IF(I5="Rob","Robusta",IF(I5="Exc","Excelsa",IF(I5="Ara","Arabica",IF(I5="Lib","Liberica",""))))</f>
        <v>Excelsa</v>
      </c>
      <c r="O5" t="str">
        <f t="shared" si="0"/>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f>L6*E6</f>
        <v>54.969999999999992</v>
      </c>
      <c r="N6" t="str">
        <f>IF(I6="Rob","Robusta",IF(I6="Exc","Excelsa",IF(I6="Ara","Arabica",IF(I6="Lib","Liberica",""))))</f>
        <v>Robusta</v>
      </c>
      <c r="O6" t="str">
        <f t="shared" si="0"/>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f>L7*E7</f>
        <v>38.849999999999994</v>
      </c>
      <c r="N7" t="str">
        <f>IF(I7="Rob","Robusta",IF(I7="Exc","Excelsa",IF(I7="Ara","Arabica",IF(I7="Lib","Liberica",""))))</f>
        <v>Liberica</v>
      </c>
      <c r="O7" t="str">
        <f t="shared" si="0"/>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f>L8*E8</f>
        <v>21.87</v>
      </c>
      <c r="N8" t="str">
        <f>IF(I8="Rob","Robusta",IF(I8="Exc","Excelsa",IF(I8="Ara","Arabica",IF(I8="Lib","Liberica",""))))</f>
        <v>Excelsa</v>
      </c>
      <c r="O8" t="str">
        <f t="shared" si="0"/>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f>L9*E9</f>
        <v>4.7549999999999999</v>
      </c>
      <c r="N9" t="str">
        <f>IF(I9="Rob","Robusta",IF(I9="Exc","Excelsa",IF(I9="Ara","Arabica",IF(I9="Lib","Liberica",""))))</f>
        <v>Liberica</v>
      </c>
      <c r="O9" t="str">
        <f t="shared" si="0"/>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f>L10*E10</f>
        <v>17.91</v>
      </c>
      <c r="N10" t="str">
        <f>IF(I10="Rob","Robusta",IF(I10="Exc","Excelsa",IF(I10="Ara","Arabica",IF(I10="Lib","Liberica",""))))</f>
        <v>Robusta</v>
      </c>
      <c r="O10" t="str">
        <f t="shared" si="0"/>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f>L11*E11</f>
        <v>5.97</v>
      </c>
      <c r="N11" t="str">
        <f>IF(I11="Rob","Robusta",IF(I11="Exc","Excelsa",IF(I11="Ara","Arabica",IF(I11="Lib","Liberica",""))))</f>
        <v>Robusta</v>
      </c>
      <c r="O11" t="str">
        <f t="shared" si="0"/>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f>L12*E12</f>
        <v>39.799999999999997</v>
      </c>
      <c r="N12" t="str">
        <f>IF(I12="Rob","Robusta",IF(I12="Exc","Excelsa",IF(I12="Ara","Arabica",IF(I12="Lib","Liberica",""))))</f>
        <v>Arabica</v>
      </c>
      <c r="O12" t="str">
        <f t="shared" si="0"/>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f>L13*E13</f>
        <v>170.77499999999998</v>
      </c>
      <c r="N13" t="str">
        <f>IF(I13="Rob","Robusta",IF(I13="Exc","Excelsa",IF(I13="Ara","Arabica",IF(I13="Lib","Liberica",""))))</f>
        <v>Excelsa</v>
      </c>
      <c r="O13" t="str">
        <f t="shared" si="0"/>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f>L14*E14</f>
        <v>49.75</v>
      </c>
      <c r="N14" t="str">
        <f>IF(I14="Rob","Robusta",IF(I14="Exc","Excelsa",IF(I14="Ara","Arabica",IF(I14="Lib","Liberica",""))))</f>
        <v>Robusta</v>
      </c>
      <c r="O14" t="str">
        <f t="shared" si="0"/>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f>L15*E15</f>
        <v>41.169999999999995</v>
      </c>
      <c r="N15" t="str">
        <f>IF(I15="Rob","Robusta",IF(I15="Exc","Excelsa",IF(I15="Ara","Arabica",IF(I15="Lib","Liberica",""))))</f>
        <v>Robusta</v>
      </c>
      <c r="O15" t="str">
        <f t="shared" si="0"/>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f>L16*E16</f>
        <v>11.654999999999999</v>
      </c>
      <c r="N16" t="str">
        <f>IF(I16="Rob","Robusta",IF(I16="Exc","Excelsa",IF(I16="Ara","Arabica",IF(I16="Lib","Liberica",""))))</f>
        <v>Liberica</v>
      </c>
      <c r="O16" t="str">
        <f t="shared" si="0"/>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f>L17*E17</f>
        <v>114.42499999999998</v>
      </c>
      <c r="N17" t="str">
        <f>IF(I17="Rob","Robusta",IF(I17="Exc","Excelsa",IF(I17="Ara","Arabica",IF(I17="Lib","Liberica",""))))</f>
        <v>Robusta</v>
      </c>
      <c r="O17" t="str">
        <f t="shared" si="0"/>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f>L18*E18</f>
        <v>20.25</v>
      </c>
      <c r="N18" t="str">
        <f>IF(I18="Rob","Robusta",IF(I18="Exc","Excelsa",IF(I18="Ara","Arabica",IF(I18="Lib","Liberica",""))))</f>
        <v>Arabica</v>
      </c>
      <c r="O18" t="str">
        <f t="shared" si="0"/>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f>L19*E19</f>
        <v>77.699999999999989</v>
      </c>
      <c r="N19" t="str">
        <f>IF(I19="Rob","Robusta",IF(I19="Exc","Excelsa",IF(I19="Ara","Arabica",IF(I19="Lib","Liberica",""))))</f>
        <v>Arabica</v>
      </c>
      <c r="O19" t="str">
        <f t="shared" si="0"/>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f>L20*E20</f>
        <v>82.339999999999989</v>
      </c>
      <c r="N20" t="str">
        <f>IF(I20="Rob","Robusta",IF(I20="Exc","Excelsa",IF(I20="Ara","Arabica",IF(I20="Lib","Liberica",""))))</f>
        <v>Robusta</v>
      </c>
      <c r="O20" t="str">
        <f t="shared" si="0"/>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f>L21*E21</f>
        <v>16.875</v>
      </c>
      <c r="N21" t="str">
        <f>IF(I21="Rob","Robusta",IF(I21="Exc","Excelsa",IF(I21="Ara","Arabica",IF(I21="Lib","Liberica",""))))</f>
        <v>Arabica</v>
      </c>
      <c r="O21" t="str">
        <f t="shared" si="0"/>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f>L22*E22</f>
        <v>14.58</v>
      </c>
      <c r="N22" t="str">
        <f>IF(I22="Rob","Robusta",IF(I22="Exc","Excelsa",IF(I22="Ara","Arabica",IF(I22="Lib","Liberica",""))))</f>
        <v>Excelsa</v>
      </c>
      <c r="O22" t="str">
        <f t="shared" si="0"/>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f>L23*E23</f>
        <v>17.91</v>
      </c>
      <c r="N23" t="str">
        <f>IF(I23="Rob","Robusta",IF(I23="Exc","Excelsa",IF(I23="Ara","Arabica",IF(I23="Lib","Liberica",""))))</f>
        <v>Arabica</v>
      </c>
      <c r="O23" t="str">
        <f t="shared" si="0"/>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f>L24*E24</f>
        <v>91.539999999999992</v>
      </c>
      <c r="N24" t="str">
        <f>IF(I24="Rob","Robusta",IF(I24="Exc","Excelsa",IF(I24="Ara","Arabica",IF(I24="Lib","Liberica",""))))</f>
        <v>Robusta</v>
      </c>
      <c r="O24" t="str">
        <f t="shared" si="0"/>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f>L25*E25</f>
        <v>11.94</v>
      </c>
      <c r="N25" t="str">
        <f>IF(I25="Rob","Robusta",IF(I25="Exc","Excelsa",IF(I25="Ara","Arabica",IF(I25="Lib","Liberica",""))))</f>
        <v>Arabica</v>
      </c>
      <c r="O25" t="str">
        <f t="shared" si="0"/>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f>L26*E26</f>
        <v>11.25</v>
      </c>
      <c r="N26" t="str">
        <f>IF(I26="Rob","Robusta",IF(I26="Exc","Excelsa",IF(I26="Ara","Arabica",IF(I26="Lib","Liberica",""))))</f>
        <v>Arabica</v>
      </c>
      <c r="O26" t="str">
        <f t="shared" si="0"/>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f>L27*E27</f>
        <v>12.375</v>
      </c>
      <c r="N27" t="str">
        <f>IF(I27="Rob","Robusta",IF(I27="Exc","Excelsa",IF(I27="Ara","Arabica",IF(I27="Lib","Liberica",""))))</f>
        <v>Excelsa</v>
      </c>
      <c r="O27" t="str">
        <f t="shared" si="0"/>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f>L28*E28</f>
        <v>27</v>
      </c>
      <c r="N28" t="str">
        <f>IF(I28="Rob","Robusta",IF(I28="Exc","Excelsa",IF(I28="Ara","Arabica",IF(I28="Lib","Liberica",""))))</f>
        <v>Arabica</v>
      </c>
      <c r="O28" t="str">
        <f t="shared" si="0"/>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f>L29*E29</f>
        <v>16.875</v>
      </c>
      <c r="N29" t="str">
        <f>IF(I29="Rob","Robusta",IF(I29="Exc","Excelsa",IF(I29="Ara","Arabica",IF(I29="Lib","Liberica",""))))</f>
        <v>Arabica</v>
      </c>
      <c r="O29" t="str">
        <f t="shared" si="0"/>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f>L30*E30</f>
        <v>17.91</v>
      </c>
      <c r="N30" t="str">
        <f>IF(I30="Rob","Robusta",IF(I30="Exc","Excelsa",IF(I30="Ara","Arabica",IF(I30="Lib","Liberica",""))))</f>
        <v>Arabica</v>
      </c>
      <c r="O30" t="str">
        <f t="shared" si="0"/>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f>L31*E31</f>
        <v>39.799999999999997</v>
      </c>
      <c r="N31" t="str">
        <f>IF(I31="Rob","Robusta",IF(I31="Exc","Excelsa",IF(I31="Ara","Arabica",IF(I31="Lib","Liberica",""))))</f>
        <v>Arabica</v>
      </c>
      <c r="O31" t="str">
        <f t="shared" si="0"/>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f>L32*E32</f>
        <v>21.825000000000003</v>
      </c>
      <c r="N32" t="str">
        <f>IF(I32="Rob","Robusta",IF(I32="Exc","Excelsa",IF(I32="Ara","Arabica",IF(I32="Lib","Liberica",""))))</f>
        <v>Liberica</v>
      </c>
      <c r="O32" t="str">
        <f t="shared" si="0"/>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f>L33*E33</f>
        <v>35.82</v>
      </c>
      <c r="N33" t="str">
        <f>IF(I33="Rob","Robusta",IF(I33="Exc","Excelsa",IF(I33="Ara","Arabica",IF(I33="Lib","Liberica",""))))</f>
        <v>Arabica</v>
      </c>
      <c r="O33" t="str">
        <f t="shared" si="0"/>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f>L34*E34</f>
        <v>52.38</v>
      </c>
      <c r="N34" t="str">
        <f>IF(I34="Rob","Robusta",IF(I34="Exc","Excelsa",IF(I34="Ara","Arabica",IF(I34="Lib","Liberica",""))))</f>
        <v>Liberica</v>
      </c>
      <c r="O34" t="str">
        <f t="shared" si="0"/>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f>L35*E35</f>
        <v>23.774999999999999</v>
      </c>
      <c r="N35" t="str">
        <f>IF(I35="Rob","Robusta",IF(I35="Exc","Excelsa",IF(I35="Ara","Arabica",IF(I35="Lib","Liberica",""))))</f>
        <v>Liberica</v>
      </c>
      <c r="O35" t="str">
        <f t="shared" si="0"/>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f>L36*E36</f>
        <v>57.06</v>
      </c>
      <c r="N36" t="str">
        <f>IF(I36="Rob","Robusta",IF(I36="Exc","Excelsa",IF(I36="Ara","Arabica",IF(I36="Lib","Liberica",""))))</f>
        <v>Liberica</v>
      </c>
      <c r="O36" t="str">
        <f t="shared" si="0"/>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f>L37*E37</f>
        <v>35.82</v>
      </c>
      <c r="N37" t="str">
        <f>IF(I37="Rob","Robusta",IF(I37="Exc","Excelsa",IF(I37="Ara","Arabica",IF(I37="Lib","Liberica",""))))</f>
        <v>Arabica</v>
      </c>
      <c r="O37" t="str">
        <f t="shared" si="0"/>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f>L38*E38</f>
        <v>8.73</v>
      </c>
      <c r="N38" t="str">
        <f>IF(I38="Rob","Robusta",IF(I38="Exc","Excelsa",IF(I38="Ara","Arabica",IF(I38="Lib","Liberica",""))))</f>
        <v>Liberica</v>
      </c>
      <c r="O38" t="str">
        <f t="shared" si="0"/>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f>L39*E39</f>
        <v>28.53</v>
      </c>
      <c r="N39" t="str">
        <f>IF(I39="Rob","Robusta",IF(I39="Exc","Excelsa",IF(I39="Ara","Arabica",IF(I39="Lib","Liberica",""))))</f>
        <v>Liberica</v>
      </c>
      <c r="O39" t="str">
        <f t="shared" si="0"/>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f>L40*E40</f>
        <v>114.42499999999998</v>
      </c>
      <c r="N40" t="str">
        <f>IF(I40="Rob","Robusta",IF(I40="Exc","Excelsa",IF(I40="Ara","Arabica",IF(I40="Lib","Liberica",""))))</f>
        <v>Robusta</v>
      </c>
      <c r="O40" t="str">
        <f t="shared" si="0"/>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f>L41*E41</f>
        <v>59.699999999999996</v>
      </c>
      <c r="N41" t="str">
        <f>IF(I41="Rob","Robusta",IF(I41="Exc","Excelsa",IF(I41="Ara","Arabica",IF(I41="Lib","Liberica",""))))</f>
        <v>Robusta</v>
      </c>
      <c r="O41" t="str">
        <f t="shared" si="0"/>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f>L42*E42</f>
        <v>43.650000000000006</v>
      </c>
      <c r="N42" t="str">
        <f>IF(I42="Rob","Robusta",IF(I42="Exc","Excelsa",IF(I42="Ara","Arabica",IF(I42="Lib","Liberica",""))))</f>
        <v>Liberica</v>
      </c>
      <c r="O42" t="str">
        <f t="shared" si="0"/>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f>L43*E43</f>
        <v>7.29</v>
      </c>
      <c r="N43" t="str">
        <f>IF(I43="Rob","Robusta",IF(I43="Exc","Excelsa",IF(I43="Ara","Arabica",IF(I43="Lib","Liberica",""))))</f>
        <v>Excelsa</v>
      </c>
      <c r="O43" t="str">
        <f t="shared" si="0"/>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f>L44*E44</f>
        <v>8.0549999999999997</v>
      </c>
      <c r="N44" t="str">
        <f>IF(I44="Rob","Robusta",IF(I44="Exc","Excelsa",IF(I44="Ara","Arabica",IF(I44="Lib","Liberica",""))))</f>
        <v>Robusta</v>
      </c>
      <c r="O44" t="str">
        <f t="shared" si="0"/>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f>L45*E45</f>
        <v>72.91</v>
      </c>
      <c r="N45" t="str">
        <f>IF(I45="Rob","Robusta",IF(I45="Exc","Excelsa",IF(I45="Ara","Arabica",IF(I45="Lib","Liberica",""))))</f>
        <v>Liberica</v>
      </c>
      <c r="O45" t="str">
        <f t="shared" si="0"/>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f>L46*E46</f>
        <v>16.5</v>
      </c>
      <c r="N46" t="str">
        <f>IF(I46="Rob","Robusta",IF(I46="Exc","Excelsa",IF(I46="Ara","Arabica",IF(I46="Lib","Liberica",""))))</f>
        <v>Excelsa</v>
      </c>
      <c r="O46" t="str">
        <f t="shared" si="0"/>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f>L47*E47</f>
        <v>178.70999999999998</v>
      </c>
      <c r="N47" t="str">
        <f>IF(I47="Rob","Robusta",IF(I47="Exc","Excelsa",IF(I47="Ara","Arabica",IF(I47="Lib","Liberica",""))))</f>
        <v>Liberica</v>
      </c>
      <c r="O47" t="str">
        <f t="shared" si="0"/>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f>L48*E48</f>
        <v>63.249999999999993</v>
      </c>
      <c r="N48" t="str">
        <f>IF(I48="Rob","Robusta",IF(I48="Exc","Excelsa",IF(I48="Ara","Arabica",IF(I48="Lib","Liberica",""))))</f>
        <v>Excelsa</v>
      </c>
      <c r="O48" t="str">
        <f t="shared" si="0"/>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f>L49*E49</f>
        <v>7.77</v>
      </c>
      <c r="N49" t="str">
        <f>IF(I49="Rob","Robusta",IF(I49="Exc","Excelsa",IF(I49="Ara","Arabica",IF(I49="Lib","Liberica",""))))</f>
        <v>Arabica</v>
      </c>
      <c r="O49" t="str">
        <f t="shared" si="0"/>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f>L50*E50</f>
        <v>91.539999999999992</v>
      </c>
      <c r="N50" t="str">
        <f>IF(I50="Rob","Robusta",IF(I50="Exc","Excelsa",IF(I50="Ara","Arabica",IF(I50="Lib","Liberica",""))))</f>
        <v>Arabica</v>
      </c>
      <c r="O50" t="str">
        <f t="shared" si="0"/>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f>L51*E51</f>
        <v>38.849999999999994</v>
      </c>
      <c r="N51" t="str">
        <f>IF(I51="Rob","Robusta",IF(I51="Exc","Excelsa",IF(I51="Ara","Arabica",IF(I51="Lib","Liberica",""))))</f>
        <v>Arabica</v>
      </c>
      <c r="O51" t="str">
        <f t="shared" si="0"/>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f>L52*E52</f>
        <v>15.54</v>
      </c>
      <c r="N52" t="str">
        <f>IF(I52="Rob","Robusta",IF(I52="Exc","Excelsa",IF(I52="Ara","Arabica",IF(I52="Lib","Liberica",""))))</f>
        <v>Liberica</v>
      </c>
      <c r="O52" t="str">
        <f t="shared" si="0"/>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f>L53*E53</f>
        <v>145.82</v>
      </c>
      <c r="N53" t="str">
        <f>IF(I53="Rob","Robusta",IF(I53="Exc","Excelsa",IF(I53="Ara","Arabica",IF(I53="Lib","Liberica",""))))</f>
        <v>Liberica</v>
      </c>
      <c r="O53" t="str">
        <f t="shared" si="0"/>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f>L54*E54</f>
        <v>29.849999999999998</v>
      </c>
      <c r="N54" t="str">
        <f>IF(I54="Rob","Robusta",IF(I54="Exc","Excelsa",IF(I54="Ara","Arabica",IF(I54="Lib","Liberica",""))))</f>
        <v>Robusta</v>
      </c>
      <c r="O54" t="str">
        <f t="shared" si="0"/>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f>L55*E55</f>
        <v>72.91</v>
      </c>
      <c r="N55" t="str">
        <f>IF(I55="Rob","Robusta",IF(I55="Exc","Excelsa",IF(I55="Ara","Arabica",IF(I55="Lib","Liberica",""))))</f>
        <v>Liberica</v>
      </c>
      <c r="O55" t="str">
        <f t="shared" si="0"/>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f>L56*E56</f>
        <v>72.75</v>
      </c>
      <c r="N56" t="str">
        <f>IF(I56="Rob","Robusta",IF(I56="Exc","Excelsa",IF(I56="Ara","Arabica",IF(I56="Lib","Liberica",""))))</f>
        <v>Liberica</v>
      </c>
      <c r="O56" t="str">
        <f t="shared" si="0"/>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f>L57*E57</f>
        <v>47.55</v>
      </c>
      <c r="N57" t="str">
        <f>IF(I57="Rob","Robusta",IF(I57="Exc","Excelsa",IF(I57="Ara","Arabica",IF(I57="Lib","Liberica",""))))</f>
        <v>Liberica</v>
      </c>
      <c r="O57" t="str">
        <f t="shared" si="0"/>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f>L58*E58</f>
        <v>10.935</v>
      </c>
      <c r="N58" t="str">
        <f>IF(I58="Rob","Robusta",IF(I58="Exc","Excelsa",IF(I58="Ara","Arabica",IF(I58="Lib","Liberica",""))))</f>
        <v>Excelsa</v>
      </c>
      <c r="O58" t="str">
        <f t="shared" si="0"/>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f>L59*E59</f>
        <v>59.4</v>
      </c>
      <c r="N59" t="str">
        <f>IF(I59="Rob","Robusta",IF(I59="Exc","Excelsa",IF(I59="Ara","Arabica",IF(I59="Lib","Liberica",""))))</f>
        <v>Excelsa</v>
      </c>
      <c r="O59" t="str">
        <f t="shared" si="0"/>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f>L60*E60</f>
        <v>89.35499999999999</v>
      </c>
      <c r="N60" t="str">
        <f>IF(I60="Rob","Robusta",IF(I60="Exc","Excelsa",IF(I60="Ara","Arabica",IF(I60="Lib","Liberica",""))))</f>
        <v>Liberica</v>
      </c>
      <c r="O60" t="str">
        <f t="shared" si="0"/>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f>L61*E61</f>
        <v>26.19</v>
      </c>
      <c r="N61" t="str">
        <f>IF(I61="Rob","Robusta",IF(I61="Exc","Excelsa",IF(I61="Ara","Arabica",IF(I61="Lib","Liberica",""))))</f>
        <v>Liberica</v>
      </c>
      <c r="O61" t="str">
        <f t="shared" si="0"/>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f>L62*E62</f>
        <v>114.42499999999998</v>
      </c>
      <c r="N62" t="str">
        <f>IF(I62="Rob","Robusta",IF(I62="Exc","Excelsa",IF(I62="Ara","Arabica",IF(I62="Lib","Liberica",""))))</f>
        <v>Arabica</v>
      </c>
      <c r="O62" t="str">
        <f t="shared" si="0"/>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f>L63*E63</f>
        <v>26.849999999999994</v>
      </c>
      <c r="N63" t="str">
        <f>IF(I63="Rob","Robusta",IF(I63="Exc","Excelsa",IF(I63="Ara","Arabica",IF(I63="Lib","Liberica",""))))</f>
        <v>Robusta</v>
      </c>
      <c r="O63" t="str">
        <f t="shared" si="0"/>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f>L64*E64</f>
        <v>23.774999999999999</v>
      </c>
      <c r="N64" t="str">
        <f>IF(I64="Rob","Robusta",IF(I64="Exc","Excelsa",IF(I64="Ara","Arabica",IF(I64="Lib","Liberica",""))))</f>
        <v>Liberica</v>
      </c>
      <c r="O64" t="str">
        <f t="shared" si="0"/>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f>L65*E65</f>
        <v>6.75</v>
      </c>
      <c r="N65" t="str">
        <f>IF(I65="Rob","Robusta",IF(I65="Exc","Excelsa",IF(I65="Ara","Arabica",IF(I65="Lib","Liberica",""))))</f>
        <v>Arabica</v>
      </c>
      <c r="O65" t="str">
        <f t="shared" si="0"/>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f>L66*E66</f>
        <v>35.82</v>
      </c>
      <c r="N66" t="str">
        <f>IF(I66="Rob","Robusta",IF(I66="Exc","Excelsa",IF(I66="Ara","Arabica",IF(I66="Lib","Liberica",""))))</f>
        <v>Robusta</v>
      </c>
      <c r="O66" t="str">
        <f t="shared" ref="O66:O129" si="1">IF(J66="M","Medium",IF(J66="L","Light",IF(J66="D","Dark","")))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f>L67*E67</f>
        <v>82.339999999999989</v>
      </c>
      <c r="N67" t="str">
        <f>IF(I67="Rob","Robusta",IF(I67="Exc","Excelsa",IF(I67="Ara","Arabica",IF(I67="Lib","Liberica",""))))</f>
        <v>Robusta</v>
      </c>
      <c r="O67" t="str">
        <f t="shared" si="1"/>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f>L68*E68</f>
        <v>7.169999999999999</v>
      </c>
      <c r="N68" t="str">
        <f>IF(I68="Rob","Robusta",IF(I68="Exc","Excelsa",IF(I68="Ara","Arabica",IF(I68="Lib","Liberica",""))))</f>
        <v>Robusta</v>
      </c>
      <c r="O68" t="str">
        <f t="shared" si="1"/>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f>L69*E69</f>
        <v>9.51</v>
      </c>
      <c r="N69" t="str">
        <f>IF(I69="Rob","Robusta",IF(I69="Exc","Excelsa",IF(I69="Ara","Arabica",IF(I69="Lib","Liberica",""))))</f>
        <v>Liberica</v>
      </c>
      <c r="O69" t="str">
        <f t="shared" si="1"/>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f>L70*E70</f>
        <v>2.9849999999999999</v>
      </c>
      <c r="N70" t="str">
        <f>IF(I70="Rob","Robusta",IF(I70="Exc","Excelsa",IF(I70="Ara","Arabica",IF(I70="Lib","Liberica",""))))</f>
        <v>Robusta</v>
      </c>
      <c r="O70" t="str">
        <f t="shared" si="1"/>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f>L71*E71</f>
        <v>59.699999999999996</v>
      </c>
      <c r="N71" t="str">
        <f>IF(I71="Rob","Robusta",IF(I71="Exc","Excelsa",IF(I71="Ara","Arabica",IF(I71="Lib","Liberica",""))))</f>
        <v>Robusta</v>
      </c>
      <c r="O71" t="str">
        <f t="shared" si="1"/>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f>L72*E72</f>
        <v>136.61999999999998</v>
      </c>
      <c r="N72" t="str">
        <f>IF(I72="Rob","Robusta",IF(I72="Exc","Excelsa",IF(I72="Ara","Arabica",IF(I72="Lib","Liberica",""))))</f>
        <v>Excelsa</v>
      </c>
      <c r="O72" t="str">
        <f t="shared" si="1"/>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f>L73*E73</f>
        <v>9.51</v>
      </c>
      <c r="N73" t="str">
        <f>IF(I73="Rob","Robusta",IF(I73="Exc","Excelsa",IF(I73="Ara","Arabica",IF(I73="Lib","Liberica",""))))</f>
        <v>Liberica</v>
      </c>
      <c r="O73" t="str">
        <f t="shared" si="1"/>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f>L74*E74</f>
        <v>77.624999999999986</v>
      </c>
      <c r="N74" t="str">
        <f>IF(I74="Rob","Robusta",IF(I74="Exc","Excelsa",IF(I74="Ara","Arabica",IF(I74="Lib","Liberica",""))))</f>
        <v>Arabica</v>
      </c>
      <c r="O74" t="str">
        <f t="shared" si="1"/>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f>L75*E75</f>
        <v>21.825000000000003</v>
      </c>
      <c r="N75" t="str">
        <f>IF(I75="Rob","Robusta",IF(I75="Exc","Excelsa",IF(I75="Ara","Arabica",IF(I75="Lib","Liberica",""))))</f>
        <v>Liberica</v>
      </c>
      <c r="O75" t="str">
        <f t="shared" si="1"/>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f>L76*E76</f>
        <v>17.82</v>
      </c>
      <c r="N76" t="str">
        <f>IF(I76="Rob","Robusta",IF(I76="Exc","Excelsa",IF(I76="Ara","Arabica",IF(I76="Lib","Liberica",""))))</f>
        <v>Excelsa</v>
      </c>
      <c r="O76" t="str">
        <f t="shared" si="1"/>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f>L77*E77</f>
        <v>53.699999999999996</v>
      </c>
      <c r="N77" t="str">
        <f>IF(I77="Rob","Robusta",IF(I77="Exc","Excelsa",IF(I77="Ara","Arabica",IF(I77="Lib","Liberica",""))))</f>
        <v>Robusta</v>
      </c>
      <c r="O77" t="str">
        <f t="shared" si="1"/>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f>L78*E78</f>
        <v>3.5849999999999995</v>
      </c>
      <c r="N78" t="str">
        <f>IF(I78="Rob","Robusta",IF(I78="Exc","Excelsa",IF(I78="Ara","Arabica",IF(I78="Lib","Liberica",""))))</f>
        <v>Robusta</v>
      </c>
      <c r="O78" t="str">
        <f t="shared" si="1"/>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f>L79*E79</f>
        <v>7.29</v>
      </c>
      <c r="N79" t="str">
        <f>IF(I79="Rob","Robusta",IF(I79="Exc","Excelsa",IF(I79="Ara","Arabica",IF(I79="Lib","Liberica",""))))</f>
        <v>Excelsa</v>
      </c>
      <c r="O79" t="str">
        <f t="shared" si="1"/>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f>L80*E80</f>
        <v>40.5</v>
      </c>
      <c r="N80" t="str">
        <f>IF(I80="Rob","Robusta",IF(I80="Exc","Excelsa",IF(I80="Ara","Arabica",IF(I80="Lib","Liberica",""))))</f>
        <v>Arabica</v>
      </c>
      <c r="O80" t="str">
        <f t="shared" si="1"/>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f>L81*E81</f>
        <v>47.8</v>
      </c>
      <c r="N81" t="str">
        <f>IF(I81="Rob","Robusta",IF(I81="Exc","Excelsa",IF(I81="Ara","Arabica",IF(I81="Lib","Liberica",""))))</f>
        <v>Robusta</v>
      </c>
      <c r="O81" t="str">
        <f t="shared" si="1"/>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f>L82*E82</f>
        <v>38.849999999999994</v>
      </c>
      <c r="N82" t="str">
        <f>IF(I82="Rob","Robusta",IF(I82="Exc","Excelsa",IF(I82="Ara","Arabica",IF(I82="Lib","Liberica",""))))</f>
        <v>Arabica</v>
      </c>
      <c r="O82" t="str">
        <f t="shared" si="1"/>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f>L83*E83</f>
        <v>109.36499999999999</v>
      </c>
      <c r="N83" t="str">
        <f>IF(I83="Rob","Robusta",IF(I83="Exc","Excelsa",IF(I83="Ara","Arabica",IF(I83="Lib","Liberica",""))))</f>
        <v>Liberica</v>
      </c>
      <c r="O83" t="str">
        <f t="shared" si="1"/>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f>L84*E84</f>
        <v>100.39499999999998</v>
      </c>
      <c r="N84" t="str">
        <f>IF(I84="Rob","Robusta",IF(I84="Exc","Excelsa",IF(I84="Ara","Arabica",IF(I84="Lib","Liberica",""))))</f>
        <v>Liberica</v>
      </c>
      <c r="O84" t="str">
        <f t="shared" si="1"/>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f>L85*E85</f>
        <v>82.339999999999989</v>
      </c>
      <c r="N85" t="str">
        <f>IF(I85="Rob","Robusta",IF(I85="Exc","Excelsa",IF(I85="Ara","Arabica",IF(I85="Lib","Liberica",""))))</f>
        <v>Robusta</v>
      </c>
      <c r="O85" t="str">
        <f t="shared" si="1"/>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f>L86*E86</f>
        <v>9.51</v>
      </c>
      <c r="N86" t="str">
        <f>IF(I86="Rob","Robusta",IF(I86="Exc","Excelsa",IF(I86="Ara","Arabica",IF(I86="Lib","Liberica",""))))</f>
        <v>Liberica</v>
      </c>
      <c r="O86" t="str">
        <f t="shared" si="1"/>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f>L87*E87</f>
        <v>89.35499999999999</v>
      </c>
      <c r="N87" t="str">
        <f>IF(I87="Rob","Robusta",IF(I87="Exc","Excelsa",IF(I87="Ara","Arabica",IF(I87="Lib","Liberica",""))))</f>
        <v>Arabica</v>
      </c>
      <c r="O87" t="str">
        <f t="shared" si="1"/>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f>L88*E88</f>
        <v>11.94</v>
      </c>
      <c r="N88" t="str">
        <f>IF(I88="Rob","Robusta",IF(I88="Exc","Excelsa",IF(I88="Ara","Arabica",IF(I88="Lib","Liberica",""))))</f>
        <v>Arabica</v>
      </c>
      <c r="O88" t="str">
        <f t="shared" si="1"/>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f>L89*E89</f>
        <v>33.75</v>
      </c>
      <c r="N89" t="str">
        <f>IF(I89="Rob","Robusta",IF(I89="Exc","Excelsa",IF(I89="Ara","Arabica",IF(I89="Lib","Liberica",""))))</f>
        <v>Arabica</v>
      </c>
      <c r="O89" t="str">
        <f t="shared" si="1"/>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f>L90*E90</f>
        <v>35.849999999999994</v>
      </c>
      <c r="N90" t="str">
        <f>IF(I90="Rob","Robusta",IF(I90="Exc","Excelsa",IF(I90="Ara","Arabica",IF(I90="Lib","Liberica",""))))</f>
        <v>Robusta</v>
      </c>
      <c r="O90" t="str">
        <f t="shared" si="1"/>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f>L91*E91</f>
        <v>77.699999999999989</v>
      </c>
      <c r="N91" t="str">
        <f>IF(I91="Rob","Robusta",IF(I91="Exc","Excelsa",IF(I91="Ara","Arabica",IF(I91="Lib","Liberica",""))))</f>
        <v>Arabica</v>
      </c>
      <c r="O91" t="str">
        <f t="shared" si="1"/>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f>L92*E92</f>
        <v>51.8</v>
      </c>
      <c r="N92" t="str">
        <f>IF(I92="Rob","Robusta",IF(I92="Exc","Excelsa",IF(I92="Ara","Arabica",IF(I92="Lib","Liberica",""))))</f>
        <v>Arabica</v>
      </c>
      <c r="O92" t="str">
        <f t="shared" si="1"/>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f>L93*E93</f>
        <v>103.49999999999999</v>
      </c>
      <c r="N93" t="str">
        <f>IF(I93="Rob","Robusta",IF(I93="Exc","Excelsa",IF(I93="Ara","Arabica",IF(I93="Lib","Liberica",""))))</f>
        <v>Arabica</v>
      </c>
      <c r="O93" t="str">
        <f t="shared" si="1"/>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f>L94*E94</f>
        <v>44.55</v>
      </c>
      <c r="N94" t="str">
        <f>IF(I94="Rob","Robusta",IF(I94="Exc","Excelsa",IF(I94="Ara","Arabica",IF(I94="Lib","Liberica",""))))</f>
        <v>Excelsa</v>
      </c>
      <c r="O94" t="str">
        <f t="shared" si="1"/>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f>L95*E95</f>
        <v>35.64</v>
      </c>
      <c r="N95" t="str">
        <f>IF(I95="Rob","Robusta",IF(I95="Exc","Excelsa",IF(I95="Ara","Arabica",IF(I95="Lib","Liberica",""))))</f>
        <v>Excelsa</v>
      </c>
      <c r="O95" t="str">
        <f t="shared" si="1"/>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f>L96*E96</f>
        <v>17.91</v>
      </c>
      <c r="N96" t="str">
        <f>IF(I96="Rob","Robusta",IF(I96="Exc","Excelsa",IF(I96="Ara","Arabica",IF(I96="Lib","Liberica",""))))</f>
        <v>Arabica</v>
      </c>
      <c r="O96" t="str">
        <f t="shared" si="1"/>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f>L97*E97</f>
        <v>155.24999999999997</v>
      </c>
      <c r="N97" t="str">
        <f>IF(I97="Rob","Robusta",IF(I97="Exc","Excelsa",IF(I97="Ara","Arabica",IF(I97="Lib","Liberica",""))))</f>
        <v>Arabica</v>
      </c>
      <c r="O97" t="str">
        <f t="shared" si="1"/>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f>L98*E98</f>
        <v>5.97</v>
      </c>
      <c r="N98" t="str">
        <f>IF(I98="Rob","Robusta",IF(I98="Exc","Excelsa",IF(I98="Ara","Arabica",IF(I98="Lib","Liberica",""))))</f>
        <v>Arabica</v>
      </c>
      <c r="O98" t="str">
        <f t="shared" si="1"/>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f>L99*E99</f>
        <v>13.5</v>
      </c>
      <c r="N99" t="str">
        <f>IF(I99="Rob","Robusta",IF(I99="Exc","Excelsa",IF(I99="Ara","Arabica",IF(I99="Lib","Liberica",""))))</f>
        <v>Arabica</v>
      </c>
      <c r="O99" t="str">
        <f t="shared" si="1"/>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f>L100*E100</f>
        <v>2.9849999999999999</v>
      </c>
      <c r="N100" t="str">
        <f>IF(I100="Rob","Robusta",IF(I100="Exc","Excelsa",IF(I100="Ara","Arabica",IF(I100="Lib","Liberica",""))))</f>
        <v>Arabica</v>
      </c>
      <c r="O100" t="str">
        <f t="shared" si="1"/>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f>L101*E101</f>
        <v>13.095000000000001</v>
      </c>
      <c r="N101" t="str">
        <f>IF(I101="Rob","Robusta",IF(I101="Exc","Excelsa",IF(I101="Ara","Arabica",IF(I101="Lib","Liberica",""))))</f>
        <v>Liberica</v>
      </c>
      <c r="O101" t="str">
        <f t="shared" si="1"/>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f>L102*E102</f>
        <v>7.77</v>
      </c>
      <c r="N102" t="str">
        <f>IF(I102="Rob","Robusta",IF(I102="Exc","Excelsa",IF(I102="Ara","Arabica",IF(I102="Lib","Liberica",""))))</f>
        <v>Arabica</v>
      </c>
      <c r="O102" t="str">
        <f t="shared" si="1"/>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f>L103*E103</f>
        <v>148.92499999999998</v>
      </c>
      <c r="N103" t="str">
        <f>IF(I103="Rob","Robusta",IF(I103="Exc","Excelsa",IF(I103="Ara","Arabica",IF(I103="Lib","Liberica",""))))</f>
        <v>Liberica</v>
      </c>
      <c r="O103" t="str">
        <f t="shared" si="1"/>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f>L104*E104</f>
        <v>38.849999999999994</v>
      </c>
      <c r="N104" t="str">
        <f>IF(I104="Rob","Robusta",IF(I104="Exc","Excelsa",IF(I104="Ara","Arabica",IF(I104="Lib","Liberica",""))))</f>
        <v>Liberica</v>
      </c>
      <c r="O104" t="str">
        <f t="shared" si="1"/>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f>L105*E105</f>
        <v>11.94</v>
      </c>
      <c r="N105" t="str">
        <f>IF(I105="Rob","Robusta",IF(I105="Exc","Excelsa",IF(I105="Ara","Arabica",IF(I105="Lib","Liberica",""))))</f>
        <v>Robusta</v>
      </c>
      <c r="O105" t="str">
        <f t="shared" si="1"/>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f>L106*E106</f>
        <v>87.300000000000011</v>
      </c>
      <c r="N106" t="str">
        <f>IF(I106="Rob","Robusta",IF(I106="Exc","Excelsa",IF(I106="Ara","Arabica",IF(I106="Lib","Liberica",""))))</f>
        <v>Liberica</v>
      </c>
      <c r="O106" t="str">
        <f t="shared" si="1"/>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f>L107*E107</f>
        <v>40.5</v>
      </c>
      <c r="N107" t="str">
        <f>IF(I107="Rob","Robusta",IF(I107="Exc","Excelsa",IF(I107="Ara","Arabica",IF(I107="Lib","Liberica",""))))</f>
        <v>Arabica</v>
      </c>
      <c r="O107" t="str">
        <f t="shared" si="1"/>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f>L108*E108</f>
        <v>24.3</v>
      </c>
      <c r="N108" t="str">
        <f>IF(I108="Rob","Robusta",IF(I108="Exc","Excelsa",IF(I108="Ara","Arabica",IF(I108="Lib","Liberica",""))))</f>
        <v>Excelsa</v>
      </c>
      <c r="O108" t="str">
        <f t="shared" si="1"/>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f>L109*E109</f>
        <v>17.91</v>
      </c>
      <c r="N109" t="str">
        <f>IF(I109="Rob","Robusta",IF(I109="Exc","Excelsa",IF(I109="Ara","Arabica",IF(I109="Lib","Liberica",""))))</f>
        <v>Robusta</v>
      </c>
      <c r="O109" t="str">
        <f t="shared" si="1"/>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f>L110*E110</f>
        <v>27</v>
      </c>
      <c r="N110" t="str">
        <f>IF(I110="Rob","Robusta",IF(I110="Exc","Excelsa",IF(I110="Ara","Arabica",IF(I110="Lib","Liberica",""))))</f>
        <v>Arabica</v>
      </c>
      <c r="O110" t="str">
        <f t="shared" si="1"/>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f>L111*E111</f>
        <v>7.77</v>
      </c>
      <c r="N111" t="str">
        <f>IF(I111="Rob","Robusta",IF(I111="Exc","Excelsa",IF(I111="Ara","Arabica",IF(I111="Lib","Liberica",""))))</f>
        <v>Liberica</v>
      </c>
      <c r="O111" t="str">
        <f t="shared" si="1"/>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f>L112*E112</f>
        <v>13.365</v>
      </c>
      <c r="N112" t="str">
        <f>IF(I112="Rob","Robusta",IF(I112="Exc","Excelsa",IF(I112="Ara","Arabica",IF(I112="Lib","Liberica",""))))</f>
        <v>Excelsa</v>
      </c>
      <c r="O112" t="str">
        <f t="shared" si="1"/>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f>L113*E113</f>
        <v>26.849999999999994</v>
      </c>
      <c r="N113" t="str">
        <f>IF(I113="Rob","Robusta",IF(I113="Exc","Excelsa",IF(I113="Ara","Arabica",IF(I113="Lib","Liberica",""))))</f>
        <v>Robusta</v>
      </c>
      <c r="O113" t="str">
        <f t="shared" si="1"/>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f>L114*E114</f>
        <v>11.25</v>
      </c>
      <c r="N114" t="str">
        <f>IF(I114="Rob","Robusta",IF(I114="Exc","Excelsa",IF(I114="Ara","Arabica",IF(I114="Lib","Liberica",""))))</f>
        <v>Arabica</v>
      </c>
      <c r="O114" t="str">
        <f t="shared" si="1"/>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f>L115*E115</f>
        <v>14.55</v>
      </c>
      <c r="N115" t="str">
        <f>IF(I115="Rob","Robusta",IF(I115="Exc","Excelsa",IF(I115="Ara","Arabica",IF(I115="Lib","Liberica",""))))</f>
        <v>Liberica</v>
      </c>
      <c r="O115" t="str">
        <f t="shared" si="1"/>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f>L116*E116</f>
        <v>14.339999999999998</v>
      </c>
      <c r="N116" t="str">
        <f>IF(I116="Rob","Robusta",IF(I116="Exc","Excelsa",IF(I116="Ara","Arabica",IF(I116="Lib","Liberica",""))))</f>
        <v>Robusta</v>
      </c>
      <c r="O116" t="str">
        <f t="shared" si="1"/>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f>L117*E117</f>
        <v>15.85</v>
      </c>
      <c r="N117" t="str">
        <f>IF(I117="Rob","Robusta",IF(I117="Exc","Excelsa",IF(I117="Ara","Arabica",IF(I117="Lib","Liberica",""))))</f>
        <v>Liberica</v>
      </c>
      <c r="O117" t="str">
        <f t="shared" si="1"/>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f>L118*E118</f>
        <v>19.02</v>
      </c>
      <c r="N118" t="str">
        <f>IF(I118="Rob","Robusta",IF(I118="Exc","Excelsa",IF(I118="Ara","Arabica",IF(I118="Lib","Liberica",""))))</f>
        <v>Liberica</v>
      </c>
      <c r="O118" t="str">
        <f t="shared" si="1"/>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f>L119*E119</f>
        <v>38.04</v>
      </c>
      <c r="N119" t="str">
        <f>IF(I119="Rob","Robusta",IF(I119="Exc","Excelsa",IF(I119="Ara","Arabica",IF(I119="Lib","Liberica",""))))</f>
        <v>Liberica</v>
      </c>
      <c r="O119" t="str">
        <f t="shared" si="1"/>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f>L120*E120</f>
        <v>21.87</v>
      </c>
      <c r="N120" t="str">
        <f>IF(I120="Rob","Robusta",IF(I120="Exc","Excelsa",IF(I120="Ara","Arabica",IF(I120="Lib","Liberica",""))))</f>
        <v>Excelsa</v>
      </c>
      <c r="O120" t="str">
        <f t="shared" si="1"/>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f>L121*E121</f>
        <v>4.125</v>
      </c>
      <c r="N121" t="str">
        <f>IF(I121="Rob","Robusta",IF(I121="Exc","Excelsa",IF(I121="Ara","Arabica",IF(I121="Lib","Liberica",""))))</f>
        <v>Excelsa</v>
      </c>
      <c r="O121" t="str">
        <f t="shared" si="1"/>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f>L122*E122</f>
        <v>3.8849999999999998</v>
      </c>
      <c r="N122" t="str">
        <f>IF(I122="Rob","Robusta",IF(I122="Exc","Excelsa",IF(I122="Ara","Arabica",IF(I122="Lib","Liberica",""))))</f>
        <v>Arabica</v>
      </c>
      <c r="O122" t="str">
        <f t="shared" si="1"/>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f>L123*E123</f>
        <v>68.75</v>
      </c>
      <c r="N123" t="str">
        <f>IF(I123="Rob","Robusta",IF(I123="Exc","Excelsa",IF(I123="Ara","Arabica",IF(I123="Lib","Liberica",""))))</f>
        <v>Excelsa</v>
      </c>
      <c r="O123" t="str">
        <f t="shared" si="1"/>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f>L124*E124</f>
        <v>23.88</v>
      </c>
      <c r="N124" t="str">
        <f>IF(I124="Rob","Robusta",IF(I124="Exc","Excelsa",IF(I124="Ara","Arabica",IF(I124="Lib","Liberica",""))))</f>
        <v>Arabica</v>
      </c>
      <c r="O124" t="str">
        <f t="shared" si="1"/>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f>L125*E125</f>
        <v>145.82</v>
      </c>
      <c r="N125" t="str">
        <f>IF(I125="Rob","Robusta",IF(I125="Exc","Excelsa",IF(I125="Ara","Arabica",IF(I125="Lib","Liberica",""))))</f>
        <v>Liberica</v>
      </c>
      <c r="O125" t="str">
        <f t="shared" si="1"/>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f>L126*E126</f>
        <v>21.825000000000003</v>
      </c>
      <c r="N126" t="str">
        <f>IF(I126="Rob","Robusta",IF(I126="Exc","Excelsa",IF(I126="Ara","Arabica",IF(I126="Lib","Liberica",""))))</f>
        <v>Liberica</v>
      </c>
      <c r="O126" t="str">
        <f t="shared" si="1"/>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f>L127*E127</f>
        <v>26.19</v>
      </c>
      <c r="N127" t="str">
        <f>IF(I127="Rob","Robusta",IF(I127="Exc","Excelsa",IF(I127="Ara","Arabica",IF(I127="Lib","Liberica",""))))</f>
        <v>Liberica</v>
      </c>
      <c r="O127" t="str">
        <f t="shared" si="1"/>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f>L128*E128</f>
        <v>11.25</v>
      </c>
      <c r="N128" t="str">
        <f>IF(I128="Rob","Robusta",IF(I128="Exc","Excelsa",IF(I128="Ara","Arabica",IF(I128="Lib","Liberica",""))))</f>
        <v>Arabica</v>
      </c>
      <c r="O128" t="str">
        <f t="shared" si="1"/>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f>L129*E129</f>
        <v>77.699999999999989</v>
      </c>
      <c r="N129" t="str">
        <f>IF(I129="Rob","Robusta",IF(I129="Exc","Excelsa",IF(I129="Ara","Arabica",IF(I129="Lib","Liberica",""))))</f>
        <v>Liberica</v>
      </c>
      <c r="O129" t="str">
        <f t="shared" si="1"/>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f>L130*E130</f>
        <v>6.75</v>
      </c>
      <c r="N130" t="str">
        <f>IF(I130="Rob","Robusta",IF(I130="Exc","Excelsa",IF(I130="Ara","Arabica",IF(I130="Lib","Liberica",""))))</f>
        <v>Arabica</v>
      </c>
      <c r="O130" t="str">
        <f t="shared" ref="O130:O193" si="2">IF(J130="M","Medium",IF(J130="L","Light",IF(J130="D","Dark","")))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f>L131*E131</f>
        <v>12.15</v>
      </c>
      <c r="N131" t="str">
        <f>IF(I131="Rob","Robusta",IF(I131="Exc","Excelsa",IF(I131="Ara","Arabica",IF(I131="Lib","Liberica",""))))</f>
        <v>Excelsa</v>
      </c>
      <c r="O131" t="str">
        <f t="shared" si="2"/>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f>L132*E132</f>
        <v>148.92499999999998</v>
      </c>
      <c r="N132" t="str">
        <f>IF(I132="Rob","Robusta",IF(I132="Exc","Excelsa",IF(I132="Ara","Arabica",IF(I132="Lib","Liberica",""))))</f>
        <v>Arabica</v>
      </c>
      <c r="O132" t="str">
        <f t="shared" si="2"/>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f>L133*E133</f>
        <v>14.58</v>
      </c>
      <c r="N133" t="str">
        <f>IF(I133="Rob","Robusta",IF(I133="Exc","Excelsa",IF(I133="Ara","Arabica",IF(I133="Lib","Liberica",""))))</f>
        <v>Excelsa</v>
      </c>
      <c r="O133" t="str">
        <f t="shared" si="2"/>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f>L134*E134</f>
        <v>148.92499999999998</v>
      </c>
      <c r="N134" t="str">
        <f>IF(I134="Rob","Robusta",IF(I134="Exc","Excelsa",IF(I134="Ara","Arabica",IF(I134="Lib","Liberica",""))))</f>
        <v>Arabica</v>
      </c>
      <c r="O134" t="str">
        <f t="shared" si="2"/>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f>L135*E135</f>
        <v>12.95</v>
      </c>
      <c r="N135" t="str">
        <f>IF(I135="Rob","Robusta",IF(I135="Exc","Excelsa",IF(I135="Ara","Arabica",IF(I135="Lib","Liberica",""))))</f>
        <v>Liberica</v>
      </c>
      <c r="O135" t="str">
        <f t="shared" si="2"/>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f>L136*E136</f>
        <v>94.874999999999986</v>
      </c>
      <c r="N136" t="str">
        <f>IF(I136="Rob","Robusta",IF(I136="Exc","Excelsa",IF(I136="Ara","Arabica",IF(I136="Lib","Liberica",""))))</f>
        <v>Excelsa</v>
      </c>
      <c r="O136" t="str">
        <f t="shared" si="2"/>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f>L137*E137</f>
        <v>38.849999999999994</v>
      </c>
      <c r="N137" t="str">
        <f>IF(I137="Rob","Robusta",IF(I137="Exc","Excelsa",IF(I137="Ara","Arabica",IF(I137="Lib","Liberica",""))))</f>
        <v>Arabica</v>
      </c>
      <c r="O137" t="str">
        <f t="shared" si="2"/>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f>L138*E138</f>
        <v>11.94</v>
      </c>
      <c r="N138" t="str">
        <f>IF(I138="Rob","Robusta",IF(I138="Exc","Excelsa",IF(I138="Ara","Arabica",IF(I138="Lib","Liberica",""))))</f>
        <v>Arabica</v>
      </c>
      <c r="O138" t="str">
        <f t="shared" si="2"/>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f>L139*E139</f>
        <v>102.46499999999997</v>
      </c>
      <c r="N139" t="str">
        <f>IF(I139="Rob","Robusta",IF(I139="Exc","Excelsa",IF(I139="Ara","Arabica",IF(I139="Lib","Liberica",""))))</f>
        <v>Excelsa</v>
      </c>
      <c r="O139" t="str">
        <f t="shared" si="2"/>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f>L140*E140</f>
        <v>48.6</v>
      </c>
      <c r="N140" t="str">
        <f>IF(I140="Rob","Robusta",IF(I140="Exc","Excelsa",IF(I140="Ara","Arabica",IF(I140="Lib","Liberica",""))))</f>
        <v>Excelsa</v>
      </c>
      <c r="O140" t="str">
        <f t="shared" si="2"/>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f>L141*E141</f>
        <v>77.699999999999989</v>
      </c>
      <c r="N141" t="str">
        <f>IF(I141="Rob","Robusta",IF(I141="Exc","Excelsa",IF(I141="Ara","Arabica",IF(I141="Lib","Liberica",""))))</f>
        <v>Liberica</v>
      </c>
      <c r="O141" t="str">
        <f t="shared" si="2"/>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f>L142*E142</f>
        <v>29.784999999999997</v>
      </c>
      <c r="N142" t="str">
        <f>IF(I142="Rob","Robusta",IF(I142="Exc","Excelsa",IF(I142="Ara","Arabica",IF(I142="Lib","Liberica",""))))</f>
        <v>Liberica</v>
      </c>
      <c r="O142" t="str">
        <f t="shared" si="2"/>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f>L143*E143</f>
        <v>15.54</v>
      </c>
      <c r="N143" t="str">
        <f>IF(I143="Rob","Robusta",IF(I143="Exc","Excelsa",IF(I143="Ara","Arabica",IF(I143="Lib","Liberica",""))))</f>
        <v>Arabica</v>
      </c>
      <c r="O143" t="str">
        <f t="shared" si="2"/>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f>L144*E144</f>
        <v>136.61999999999998</v>
      </c>
      <c r="N144" t="str">
        <f>IF(I144="Rob","Robusta",IF(I144="Exc","Excelsa",IF(I144="Ara","Arabica",IF(I144="Lib","Liberica",""))))</f>
        <v>Excelsa</v>
      </c>
      <c r="O144" t="str">
        <f t="shared" si="2"/>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f>L145*E145</f>
        <v>17.46</v>
      </c>
      <c r="N145" t="str">
        <f>IF(I145="Rob","Robusta",IF(I145="Exc","Excelsa",IF(I145="Ara","Arabica",IF(I145="Lib","Liberica",""))))</f>
        <v>Liberica</v>
      </c>
      <c r="O145" t="str">
        <f t="shared" si="2"/>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f>L146*E146</f>
        <v>68.309999999999988</v>
      </c>
      <c r="N146" t="str">
        <f>IF(I146="Rob","Robusta",IF(I146="Exc","Excelsa",IF(I146="Ara","Arabica",IF(I146="Lib","Liberica",""))))</f>
        <v>Excelsa</v>
      </c>
      <c r="O146" t="str">
        <f t="shared" si="2"/>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f>L147*E147</f>
        <v>17.46</v>
      </c>
      <c r="N147" t="str">
        <f>IF(I147="Rob","Robusta",IF(I147="Exc","Excelsa",IF(I147="Ara","Arabica",IF(I147="Lib","Liberica",""))))</f>
        <v>Liberica</v>
      </c>
      <c r="O147" t="str">
        <f t="shared" si="2"/>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f>L148*E148</f>
        <v>43.650000000000006</v>
      </c>
      <c r="N148" t="str">
        <f>IF(I148="Rob","Robusta",IF(I148="Exc","Excelsa",IF(I148="Ara","Arabica",IF(I148="Lib","Liberica",""))))</f>
        <v>Liberica</v>
      </c>
      <c r="O148" t="str">
        <f t="shared" si="2"/>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f>L149*E149</f>
        <v>27.5</v>
      </c>
      <c r="N149" t="str">
        <f>IF(I149="Rob","Robusta",IF(I149="Exc","Excelsa",IF(I149="Ara","Arabica",IF(I149="Lib","Liberica",""))))</f>
        <v>Excelsa</v>
      </c>
      <c r="O149" t="str">
        <f t="shared" si="2"/>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f>L150*E150</f>
        <v>18.225000000000001</v>
      </c>
      <c r="N150" t="str">
        <f>IF(I150="Rob","Robusta",IF(I150="Exc","Excelsa",IF(I150="Ara","Arabica",IF(I150="Lib","Liberica",""))))</f>
        <v>Excelsa</v>
      </c>
      <c r="O150" t="str">
        <f t="shared" si="2"/>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f>L151*E151</f>
        <v>51.749999999999993</v>
      </c>
      <c r="N151" t="str">
        <f>IF(I151="Rob","Robusta",IF(I151="Exc","Excelsa",IF(I151="Ara","Arabica",IF(I151="Lib","Liberica",""))))</f>
        <v>Arabica</v>
      </c>
      <c r="O151" t="str">
        <f t="shared" si="2"/>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f>L152*E152</f>
        <v>12.95</v>
      </c>
      <c r="N152" t="str">
        <f>IF(I152="Rob","Robusta",IF(I152="Exc","Excelsa",IF(I152="Ara","Arabica",IF(I152="Lib","Liberica",""))))</f>
        <v>Liberica</v>
      </c>
      <c r="O152" t="str">
        <f t="shared" si="2"/>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f>L153*E153</f>
        <v>33.75</v>
      </c>
      <c r="N153" t="str">
        <f>IF(I153="Rob","Robusta",IF(I153="Exc","Excelsa",IF(I153="Ara","Arabica",IF(I153="Lib","Liberica",""))))</f>
        <v>Arabica</v>
      </c>
      <c r="O153" t="str">
        <f t="shared" si="2"/>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f>L154*E154</f>
        <v>68.655000000000001</v>
      </c>
      <c r="N154" t="str">
        <f>IF(I154="Rob","Robusta",IF(I154="Exc","Excelsa",IF(I154="Ara","Arabica",IF(I154="Lib","Liberica",""))))</f>
        <v>Robusta</v>
      </c>
      <c r="O154" t="str">
        <f t="shared" si="2"/>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f>L155*E155</f>
        <v>2.6849999999999996</v>
      </c>
      <c r="N155" t="str">
        <f>IF(I155="Rob","Robusta",IF(I155="Exc","Excelsa",IF(I155="Ara","Arabica",IF(I155="Lib","Liberica",""))))</f>
        <v>Robusta</v>
      </c>
      <c r="O155" t="str">
        <f t="shared" si="2"/>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f>L156*E156</f>
        <v>114.42499999999998</v>
      </c>
      <c r="N156" t="str">
        <f>IF(I156="Rob","Robusta",IF(I156="Exc","Excelsa",IF(I156="Ara","Arabica",IF(I156="Lib","Liberica",""))))</f>
        <v>Arabica</v>
      </c>
      <c r="O156" t="str">
        <f t="shared" si="2"/>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f>L157*E157</f>
        <v>155.24999999999997</v>
      </c>
      <c r="N157" t="str">
        <f>IF(I157="Rob","Robusta",IF(I157="Exc","Excelsa",IF(I157="Ara","Arabica",IF(I157="Lib","Liberica",""))))</f>
        <v>Arabica</v>
      </c>
      <c r="O157" t="str">
        <f t="shared" si="2"/>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f>L158*E158</f>
        <v>77.624999999999986</v>
      </c>
      <c r="N158" t="str">
        <f>IF(I158="Rob","Robusta",IF(I158="Exc","Excelsa",IF(I158="Ara","Arabica",IF(I158="Lib","Liberica",""))))</f>
        <v>Arabica</v>
      </c>
      <c r="O158" t="str">
        <f t="shared" si="2"/>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f>L159*E159</f>
        <v>61.754999999999995</v>
      </c>
      <c r="N159" t="str">
        <f>IF(I159="Rob","Robusta",IF(I159="Exc","Excelsa",IF(I159="Ara","Arabica",IF(I159="Lib","Liberica",""))))</f>
        <v>Robusta</v>
      </c>
      <c r="O159" t="str">
        <f t="shared" si="2"/>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f>L160*E160</f>
        <v>123.50999999999999</v>
      </c>
      <c r="N160" t="str">
        <f>IF(I160="Rob","Robusta",IF(I160="Exc","Excelsa",IF(I160="Ara","Arabica",IF(I160="Lib","Liberica",""))))</f>
        <v>Robusta</v>
      </c>
      <c r="O160" t="str">
        <f t="shared" si="2"/>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f>L161*E161</f>
        <v>218.73</v>
      </c>
      <c r="N161" t="str">
        <f>IF(I161="Rob","Robusta",IF(I161="Exc","Excelsa",IF(I161="Ara","Arabica",IF(I161="Lib","Liberica",""))))</f>
        <v>Liberica</v>
      </c>
      <c r="O161" t="str">
        <f t="shared" si="2"/>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f>L162*E162</f>
        <v>33</v>
      </c>
      <c r="N162" t="str">
        <f>IF(I162="Rob","Robusta",IF(I162="Exc","Excelsa",IF(I162="Ara","Arabica",IF(I162="Lib","Liberica",""))))</f>
        <v>Excelsa</v>
      </c>
      <c r="O162" t="str">
        <f t="shared" si="2"/>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f>L163*E163</f>
        <v>23.31</v>
      </c>
      <c r="N163" t="str">
        <f>IF(I163="Rob","Robusta",IF(I163="Exc","Excelsa",IF(I163="Ara","Arabica",IF(I163="Lib","Liberica",""))))</f>
        <v>Arabica</v>
      </c>
      <c r="O163" t="str">
        <f t="shared" si="2"/>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f>L164*E164</f>
        <v>21.87</v>
      </c>
      <c r="N164" t="str">
        <f>IF(I164="Rob","Robusta",IF(I164="Exc","Excelsa",IF(I164="Ara","Arabica",IF(I164="Lib","Liberica",""))))</f>
        <v>Excelsa</v>
      </c>
      <c r="O164" t="str">
        <f t="shared" si="2"/>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f>L165*E165</f>
        <v>16.11</v>
      </c>
      <c r="N165" t="str">
        <f>IF(I165="Rob","Robusta",IF(I165="Exc","Excelsa",IF(I165="Ara","Arabica",IF(I165="Lib","Liberica",""))))</f>
        <v>Robusta</v>
      </c>
      <c r="O165" t="str">
        <f t="shared" si="2"/>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f>L166*E166</f>
        <v>29.16</v>
      </c>
      <c r="N166" t="str">
        <f>IF(I166="Rob","Robusta",IF(I166="Exc","Excelsa",IF(I166="Ara","Arabica",IF(I166="Lib","Liberica",""))))</f>
        <v>Excelsa</v>
      </c>
      <c r="O166" t="str">
        <f t="shared" si="2"/>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f>L167*E167</f>
        <v>53.699999999999996</v>
      </c>
      <c r="N167" t="str">
        <f>IF(I167="Rob","Robusta",IF(I167="Exc","Excelsa",IF(I167="Ara","Arabica",IF(I167="Lib","Liberica",""))))</f>
        <v>Robusta</v>
      </c>
      <c r="O167" t="str">
        <f t="shared" si="2"/>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f>L168*E168</f>
        <v>26.849999999999994</v>
      </c>
      <c r="N168" t="str">
        <f>IF(I168="Rob","Robusta",IF(I168="Exc","Excelsa",IF(I168="Ara","Arabica",IF(I168="Lib","Liberica",""))))</f>
        <v>Robusta</v>
      </c>
      <c r="O168" t="str">
        <f t="shared" si="2"/>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f>L169*E169</f>
        <v>41.25</v>
      </c>
      <c r="N169" t="str">
        <f>IF(I169="Rob","Robusta",IF(I169="Exc","Excelsa",IF(I169="Ara","Arabica",IF(I169="Lib","Liberica",""))))</f>
        <v>Excelsa</v>
      </c>
      <c r="O169" t="str">
        <f t="shared" si="2"/>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f>L170*E170</f>
        <v>40.5</v>
      </c>
      <c r="N170" t="str">
        <f>IF(I170="Rob","Robusta",IF(I170="Exc","Excelsa",IF(I170="Ara","Arabica",IF(I170="Lib","Liberica",""))))</f>
        <v>Arabica</v>
      </c>
      <c r="O170" t="str">
        <f t="shared" si="2"/>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f>L171*E171</f>
        <v>17.899999999999999</v>
      </c>
      <c r="N171" t="str">
        <f>IF(I171="Rob","Robusta",IF(I171="Exc","Excelsa",IF(I171="Ara","Arabica",IF(I171="Lib","Liberica",""))))</f>
        <v>Robusta</v>
      </c>
      <c r="O171" t="str">
        <f t="shared" si="2"/>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f>L172*E172</f>
        <v>68.309999999999988</v>
      </c>
      <c r="N172" t="str">
        <f>IF(I172="Rob","Robusta",IF(I172="Exc","Excelsa",IF(I172="Ara","Arabica",IF(I172="Lib","Liberica",""))))</f>
        <v>Excelsa</v>
      </c>
      <c r="O172" t="str">
        <f t="shared" si="2"/>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f>L173*E173</f>
        <v>63.249999999999993</v>
      </c>
      <c r="N173" t="str">
        <f>IF(I173="Rob","Robusta",IF(I173="Exc","Excelsa",IF(I173="Ara","Arabica",IF(I173="Lib","Liberica",""))))</f>
        <v>Excelsa</v>
      </c>
      <c r="O173" t="str">
        <f t="shared" si="2"/>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f>L174*E174</f>
        <v>21.87</v>
      </c>
      <c r="N174" t="str">
        <f>IF(I174="Rob","Robusta",IF(I174="Exc","Excelsa",IF(I174="Ara","Arabica",IF(I174="Lib","Liberica",""))))</f>
        <v>Excelsa</v>
      </c>
      <c r="O174" t="str">
        <f t="shared" si="2"/>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f>L175*E175</f>
        <v>91.539999999999992</v>
      </c>
      <c r="N175" t="str">
        <f>IF(I175="Rob","Robusta",IF(I175="Exc","Excelsa",IF(I175="Ara","Arabica",IF(I175="Lib","Liberica",""))))</f>
        <v>Robusta</v>
      </c>
      <c r="O175" t="str">
        <f t="shared" si="2"/>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f>L176*E176</f>
        <v>204.92999999999995</v>
      </c>
      <c r="N176" t="str">
        <f>IF(I176="Rob","Robusta",IF(I176="Exc","Excelsa",IF(I176="Ara","Arabica",IF(I176="Lib","Liberica",""))))</f>
        <v>Excelsa</v>
      </c>
      <c r="O176" t="str">
        <f t="shared" si="2"/>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f>L177*E177</f>
        <v>63.249999999999993</v>
      </c>
      <c r="N177" t="str">
        <f>IF(I177="Rob","Robusta",IF(I177="Exc","Excelsa",IF(I177="Ara","Arabica",IF(I177="Lib","Liberica",""))))</f>
        <v>Excelsa</v>
      </c>
      <c r="O177" t="str">
        <f t="shared" si="2"/>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f>L178*E178</f>
        <v>34.154999999999994</v>
      </c>
      <c r="N178" t="str">
        <f>IF(I178="Rob","Robusta",IF(I178="Exc","Excelsa",IF(I178="Ara","Arabica",IF(I178="Lib","Liberica",""))))</f>
        <v>Excelsa</v>
      </c>
      <c r="O178" t="str">
        <f t="shared" si="2"/>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f>L179*E179</f>
        <v>109.93999999999998</v>
      </c>
      <c r="N179" t="str">
        <f>IF(I179="Rob","Robusta",IF(I179="Exc","Excelsa",IF(I179="Ara","Arabica",IF(I179="Lib","Liberica",""))))</f>
        <v>Robusta</v>
      </c>
      <c r="O179" t="str">
        <f t="shared" si="2"/>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f>L180*E180</f>
        <v>25.9</v>
      </c>
      <c r="N180" t="str">
        <f>IF(I180="Rob","Robusta",IF(I180="Exc","Excelsa",IF(I180="Ara","Arabica",IF(I180="Lib","Liberica",""))))</f>
        <v>Arabica</v>
      </c>
      <c r="O180" t="str">
        <f t="shared" si="2"/>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f>L181*E181</f>
        <v>2.9849999999999999</v>
      </c>
      <c r="N181" t="str">
        <f>IF(I181="Rob","Robusta",IF(I181="Exc","Excelsa",IF(I181="Ara","Arabica",IF(I181="Lib","Liberica",""))))</f>
        <v>Arabica</v>
      </c>
      <c r="O181" t="str">
        <f t="shared" si="2"/>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f>L182*E182</f>
        <v>22.274999999999999</v>
      </c>
      <c r="N182" t="str">
        <f>IF(I182="Rob","Robusta",IF(I182="Exc","Excelsa",IF(I182="Ara","Arabica",IF(I182="Lib","Liberica",""))))</f>
        <v>Excelsa</v>
      </c>
      <c r="O182" t="str">
        <f t="shared" si="2"/>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f>L183*E183</f>
        <v>29.849999999999998</v>
      </c>
      <c r="N183" t="str">
        <f>IF(I183="Rob","Robusta",IF(I183="Exc","Excelsa",IF(I183="Ara","Arabica",IF(I183="Lib","Liberica",""))))</f>
        <v>Arabica</v>
      </c>
      <c r="O183" t="str">
        <f t="shared" si="2"/>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f>L184*E184</f>
        <v>32.22</v>
      </c>
      <c r="N184" t="str">
        <f>IF(I184="Rob","Robusta",IF(I184="Exc","Excelsa",IF(I184="Ara","Arabica",IF(I184="Lib","Liberica",""))))</f>
        <v>Robusta</v>
      </c>
      <c r="O184" t="str">
        <f t="shared" si="2"/>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f>L185*E185</f>
        <v>8.25</v>
      </c>
      <c r="N185" t="str">
        <f>IF(I185="Rob","Robusta",IF(I185="Exc","Excelsa",IF(I185="Ara","Arabica",IF(I185="Lib","Liberica",""))))</f>
        <v>Excelsa</v>
      </c>
      <c r="O185" t="str">
        <f t="shared" si="2"/>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f>L186*E186</f>
        <v>31.08</v>
      </c>
      <c r="N186" t="str">
        <f>IF(I186="Rob","Robusta",IF(I186="Exc","Excelsa",IF(I186="Ara","Arabica",IF(I186="Lib","Liberica",""))))</f>
        <v>Arabica</v>
      </c>
      <c r="O186" t="str">
        <f t="shared" si="2"/>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f>L187*E187</f>
        <v>36.450000000000003</v>
      </c>
      <c r="N187" t="str">
        <f>IF(I187="Rob","Robusta",IF(I187="Exc","Excelsa",IF(I187="Ara","Arabica",IF(I187="Lib","Liberica",""))))</f>
        <v>Excelsa</v>
      </c>
      <c r="O187" t="str">
        <f t="shared" si="2"/>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f>L188*E188</f>
        <v>68.655000000000001</v>
      </c>
      <c r="N188" t="str">
        <f>IF(I188="Rob","Robusta",IF(I188="Exc","Excelsa",IF(I188="Ara","Arabica",IF(I188="Lib","Liberica",""))))</f>
        <v>Robusta</v>
      </c>
      <c r="O188" t="str">
        <f t="shared" si="2"/>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f>L189*E189</f>
        <v>43.650000000000006</v>
      </c>
      <c r="N189" t="str">
        <f>IF(I189="Rob","Robusta",IF(I189="Exc","Excelsa",IF(I189="Ara","Arabica",IF(I189="Lib","Liberica",""))))</f>
        <v>Liberica</v>
      </c>
      <c r="O189" t="str">
        <f t="shared" si="2"/>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f>L190*E190</f>
        <v>4.4550000000000001</v>
      </c>
      <c r="N190" t="str">
        <f>IF(I190="Rob","Robusta",IF(I190="Exc","Excelsa",IF(I190="Ara","Arabica",IF(I190="Lib","Liberica",""))))</f>
        <v>Excelsa</v>
      </c>
      <c r="O190" t="str">
        <f t="shared" si="2"/>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f>L191*E191</f>
        <v>43.650000000000006</v>
      </c>
      <c r="N191" t="str">
        <f>IF(I191="Rob","Robusta",IF(I191="Exc","Excelsa",IF(I191="Ara","Arabica",IF(I191="Lib","Liberica",""))))</f>
        <v>Liberica</v>
      </c>
      <c r="O191" t="str">
        <f t="shared" si="2"/>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f>L192*E192</f>
        <v>33.464999999999996</v>
      </c>
      <c r="N192" t="str">
        <f>IF(I192="Rob","Robusta",IF(I192="Exc","Excelsa",IF(I192="Ara","Arabica",IF(I192="Lib","Liberica",""))))</f>
        <v>Liberica</v>
      </c>
      <c r="O192" t="str">
        <f t="shared" si="2"/>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f>L193*E193</f>
        <v>19.424999999999997</v>
      </c>
      <c r="N193" t="str">
        <f>IF(I193="Rob","Robusta",IF(I193="Exc","Excelsa",IF(I193="Ara","Arabica",IF(I193="Lib","Liberica",""))))</f>
        <v>Liberica</v>
      </c>
      <c r="O193" t="str">
        <f t="shared" si="2"/>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f>L194*E194</f>
        <v>72.900000000000006</v>
      </c>
      <c r="N194" t="str">
        <f>IF(I194="Rob","Robusta",IF(I194="Exc","Excelsa",IF(I194="Ara","Arabica",IF(I194="Lib","Liberica",""))))</f>
        <v>Excelsa</v>
      </c>
      <c r="O194" t="str">
        <f t="shared" ref="O194:O257" si="3">IF(J194="M","Medium",IF(J194="L","Light",IF(J194="D","Dark","")))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f>L195*E195</f>
        <v>44.55</v>
      </c>
      <c r="N195" t="str">
        <f>IF(I195="Rob","Robusta",IF(I195="Exc","Excelsa",IF(I195="Ara","Arabica",IF(I195="Lib","Liberica",""))))</f>
        <v>Excelsa</v>
      </c>
      <c r="O195" t="str">
        <f t="shared" si="3"/>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f>L196*E196</f>
        <v>36.450000000000003</v>
      </c>
      <c r="N196" t="str">
        <f>IF(I196="Rob","Robusta",IF(I196="Exc","Excelsa",IF(I196="Ara","Arabica",IF(I196="Lib","Liberica",""))))</f>
        <v>Excelsa</v>
      </c>
      <c r="O196" t="str">
        <f t="shared" si="3"/>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f>L197*E197</f>
        <v>38.849999999999994</v>
      </c>
      <c r="N197" t="str">
        <f>IF(I197="Rob","Robusta",IF(I197="Exc","Excelsa",IF(I197="Ara","Arabica",IF(I197="Lib","Liberica",""))))</f>
        <v>Arabica</v>
      </c>
      <c r="O197" t="str">
        <f t="shared" si="3"/>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f>L198*E198</f>
        <v>53.46</v>
      </c>
      <c r="N198" t="str">
        <f>IF(I198="Rob","Robusta",IF(I198="Exc","Excelsa",IF(I198="Ara","Arabica",IF(I198="Lib","Liberica",""))))</f>
        <v>Excelsa</v>
      </c>
      <c r="O198" t="str">
        <f t="shared" si="3"/>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f>L199*E199</f>
        <v>59.569999999999993</v>
      </c>
      <c r="N199" t="str">
        <f>IF(I199="Rob","Robusta",IF(I199="Exc","Excelsa",IF(I199="Ara","Arabica",IF(I199="Lib","Liberica",""))))</f>
        <v>Liberica</v>
      </c>
      <c r="O199" t="str">
        <f t="shared" si="3"/>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f>L200*E200</f>
        <v>89.35499999999999</v>
      </c>
      <c r="N200" t="str">
        <f>IF(I200="Rob","Robusta",IF(I200="Exc","Excelsa",IF(I200="Ara","Arabica",IF(I200="Lib","Liberica",""))))</f>
        <v>Liberica</v>
      </c>
      <c r="O200" t="str">
        <f t="shared" si="3"/>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f>L201*E201</f>
        <v>38.04</v>
      </c>
      <c r="N201" t="str">
        <f>IF(I201="Rob","Robusta",IF(I201="Exc","Excelsa",IF(I201="Ara","Arabica",IF(I201="Lib","Liberica",""))))</f>
        <v>Liberica</v>
      </c>
      <c r="O201" t="str">
        <f t="shared" si="3"/>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f>L202*E202</f>
        <v>41.25</v>
      </c>
      <c r="N202" t="str">
        <f>IF(I202="Rob","Robusta",IF(I202="Exc","Excelsa",IF(I202="Ara","Arabica",IF(I202="Lib","Liberica",""))))</f>
        <v>Excelsa</v>
      </c>
      <c r="O202" t="str">
        <f t="shared" si="3"/>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f>L203*E203</f>
        <v>57.06</v>
      </c>
      <c r="N203" t="str">
        <f>IF(I203="Rob","Robusta",IF(I203="Exc","Excelsa",IF(I203="Ara","Arabica",IF(I203="Lib","Liberica",""))))</f>
        <v>Liberica</v>
      </c>
      <c r="O203" t="str">
        <f t="shared" si="3"/>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f>L204*E204</f>
        <v>178.70999999999998</v>
      </c>
      <c r="N204" t="str">
        <f>IF(I204="Rob","Robusta",IF(I204="Exc","Excelsa",IF(I204="Ara","Arabica",IF(I204="Lib","Liberica",""))))</f>
        <v>Liberica</v>
      </c>
      <c r="O204" t="str">
        <f t="shared" si="3"/>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f>L205*E205</f>
        <v>4.7549999999999999</v>
      </c>
      <c r="N205" t="str">
        <f>IF(I205="Rob","Robusta",IF(I205="Exc","Excelsa",IF(I205="Ara","Arabica",IF(I205="Lib","Liberica",""))))</f>
        <v>Liberica</v>
      </c>
      <c r="O205" t="str">
        <f t="shared" si="3"/>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f>L206*E206</f>
        <v>82.5</v>
      </c>
      <c r="N206" t="str">
        <f>IF(I206="Rob","Robusta",IF(I206="Exc","Excelsa",IF(I206="Ara","Arabica",IF(I206="Lib","Liberica",""))))</f>
        <v>Excelsa</v>
      </c>
      <c r="O206" t="str">
        <f t="shared" si="3"/>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f>L207*E207</f>
        <v>8.0549999999999997</v>
      </c>
      <c r="N207" t="str">
        <f>IF(I207="Rob","Robusta",IF(I207="Exc","Excelsa",IF(I207="Ara","Arabica",IF(I207="Lib","Liberica",""))))</f>
        <v>Robusta</v>
      </c>
      <c r="O207" t="str">
        <f t="shared" si="3"/>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f>L208*E208</f>
        <v>22.5</v>
      </c>
      <c r="N208" t="str">
        <f>IF(I208="Rob","Robusta",IF(I208="Exc","Excelsa",IF(I208="Ara","Arabica",IF(I208="Lib","Liberica",""))))</f>
        <v>Arabica</v>
      </c>
      <c r="O208" t="str">
        <f t="shared" si="3"/>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f>L209*E209</f>
        <v>40.5</v>
      </c>
      <c r="N209" t="str">
        <f>IF(I209="Rob","Robusta",IF(I209="Exc","Excelsa",IF(I209="Ara","Arabica",IF(I209="Lib","Liberica",""))))</f>
        <v>Arabica</v>
      </c>
      <c r="O209" t="str">
        <f t="shared" si="3"/>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f>L210*E210</f>
        <v>29.16</v>
      </c>
      <c r="N210" t="str">
        <f>IF(I210="Rob","Robusta",IF(I210="Exc","Excelsa",IF(I210="Ara","Arabica",IF(I210="Lib","Liberica",""))))</f>
        <v>Excelsa</v>
      </c>
      <c r="O210" t="str">
        <f t="shared" si="3"/>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f>L211*E211</f>
        <v>6.75</v>
      </c>
      <c r="N211" t="str">
        <f>IF(I211="Rob","Robusta",IF(I211="Exc","Excelsa",IF(I211="Ara","Arabica",IF(I211="Lib","Liberica",""))))</f>
        <v>Arabica</v>
      </c>
      <c r="O211" t="str">
        <f t="shared" si="3"/>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f>L212*E212</f>
        <v>51.8</v>
      </c>
      <c r="N212" t="str">
        <f>IF(I212="Rob","Robusta",IF(I212="Exc","Excelsa",IF(I212="Ara","Arabica",IF(I212="Lib","Liberica",""))))</f>
        <v>Liberica</v>
      </c>
      <c r="O212" t="str">
        <f t="shared" si="3"/>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f>L213*E213</f>
        <v>53.46</v>
      </c>
      <c r="N213" t="str">
        <f>IF(I213="Rob","Robusta",IF(I213="Exc","Excelsa",IF(I213="Ara","Arabica",IF(I213="Lib","Liberica",""))))</f>
        <v>Excelsa</v>
      </c>
      <c r="O213" t="str">
        <f t="shared" si="3"/>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f>L214*E214</f>
        <v>14.58</v>
      </c>
      <c r="N214" t="str">
        <f>IF(I214="Rob","Robusta",IF(I214="Exc","Excelsa",IF(I214="Ara","Arabica",IF(I214="Lib","Liberica",""))))</f>
        <v>Excelsa</v>
      </c>
      <c r="O214" t="str">
        <f t="shared" si="3"/>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f>L215*E215</f>
        <v>20.584999999999997</v>
      </c>
      <c r="N215" t="str">
        <f>IF(I215="Rob","Robusta",IF(I215="Exc","Excelsa",IF(I215="Ara","Arabica",IF(I215="Lib","Liberica",""))))</f>
        <v>Robusta</v>
      </c>
      <c r="O215" t="str">
        <f t="shared" si="3"/>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f>L216*E216</f>
        <v>31.7</v>
      </c>
      <c r="N216" t="str">
        <f>IF(I216="Rob","Robusta",IF(I216="Exc","Excelsa",IF(I216="Ara","Arabica",IF(I216="Lib","Liberica",""))))</f>
        <v>Liberica</v>
      </c>
      <c r="O216" t="str">
        <f t="shared" si="3"/>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f>L217*E217</f>
        <v>23.31</v>
      </c>
      <c r="N217" t="str">
        <f>IF(I217="Rob","Robusta",IF(I217="Exc","Excelsa",IF(I217="Ara","Arabica",IF(I217="Lib","Liberica",""))))</f>
        <v>Liberica</v>
      </c>
      <c r="O217" t="str">
        <f t="shared" si="3"/>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f>L218*E218</f>
        <v>58.2</v>
      </c>
      <c r="N218" t="str">
        <f>IF(I218="Rob","Robusta",IF(I218="Exc","Excelsa",IF(I218="Ara","Arabica",IF(I218="Lib","Liberica",""))))</f>
        <v>Liberica</v>
      </c>
      <c r="O218" t="str">
        <f t="shared" si="3"/>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f>L219*E219</f>
        <v>35.64</v>
      </c>
      <c r="N219" t="str">
        <f>IF(I219="Rob","Robusta",IF(I219="Exc","Excelsa",IF(I219="Ara","Arabica",IF(I219="Lib","Liberica",""))))</f>
        <v>Excelsa</v>
      </c>
      <c r="O219" t="str">
        <f t="shared" si="3"/>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f>L220*E220</f>
        <v>56.25</v>
      </c>
      <c r="N220" t="str">
        <f>IF(I220="Rob","Robusta",IF(I220="Exc","Excelsa",IF(I220="Ara","Arabica",IF(I220="Lib","Liberica",""))))</f>
        <v>Arabica</v>
      </c>
      <c r="O220" t="str">
        <f t="shared" si="3"/>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f>L221*E221</f>
        <v>10.754999999999999</v>
      </c>
      <c r="N221" t="str">
        <f>IF(I221="Rob","Robusta",IF(I221="Exc","Excelsa",IF(I221="Ara","Arabica",IF(I221="Lib","Liberica",""))))</f>
        <v>Robusta</v>
      </c>
      <c r="O221" t="str">
        <f t="shared" si="3"/>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f>L222*E222</f>
        <v>14.924999999999999</v>
      </c>
      <c r="N222" t="str">
        <f>IF(I222="Rob","Robusta",IF(I222="Exc","Excelsa",IF(I222="Ara","Arabica",IF(I222="Lib","Liberica",""))))</f>
        <v>Robusta</v>
      </c>
      <c r="O222" t="str">
        <f t="shared" si="3"/>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f>L223*E223</f>
        <v>77.699999999999989</v>
      </c>
      <c r="N223" t="str">
        <f>IF(I223="Rob","Robusta",IF(I223="Exc","Excelsa",IF(I223="Ara","Arabica",IF(I223="Lib","Liberica",""))))</f>
        <v>Arabica</v>
      </c>
      <c r="O223" t="str">
        <f t="shared" si="3"/>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f>L224*E224</f>
        <v>23.31</v>
      </c>
      <c r="N224" t="str">
        <f>IF(I224="Rob","Robusta",IF(I224="Exc","Excelsa",IF(I224="Ara","Arabica",IF(I224="Lib","Liberica",""))))</f>
        <v>Liberica</v>
      </c>
      <c r="O224" t="str">
        <f t="shared" si="3"/>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f>L225*E225</f>
        <v>59.4</v>
      </c>
      <c r="N225" t="str">
        <f>IF(I225="Rob","Robusta",IF(I225="Exc","Excelsa",IF(I225="Ara","Arabica",IF(I225="Lib","Liberica",""))))</f>
        <v>Excelsa</v>
      </c>
      <c r="O225" t="str">
        <f t="shared" si="3"/>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f>L226*E226</f>
        <v>119.13999999999999</v>
      </c>
      <c r="N226" t="str">
        <f>IF(I226="Rob","Robusta",IF(I226="Exc","Excelsa",IF(I226="Ara","Arabica",IF(I226="Lib","Liberica",""))))</f>
        <v>Liberica</v>
      </c>
      <c r="O226" t="str">
        <f t="shared" si="3"/>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f>L227*E227</f>
        <v>14.339999999999998</v>
      </c>
      <c r="N227" t="str">
        <f>IF(I227="Rob","Robusta",IF(I227="Exc","Excelsa",IF(I227="Ara","Arabica",IF(I227="Lib","Liberica",""))))</f>
        <v>Robusta</v>
      </c>
      <c r="O227" t="str">
        <f t="shared" si="3"/>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f>L228*E228</f>
        <v>129.37499999999997</v>
      </c>
      <c r="N228" t="str">
        <f>IF(I228="Rob","Robusta",IF(I228="Exc","Excelsa",IF(I228="Ara","Arabica",IF(I228="Lib","Liberica",""))))</f>
        <v>Arabica</v>
      </c>
      <c r="O228" t="str">
        <f t="shared" si="3"/>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f>L229*E229</f>
        <v>16.11</v>
      </c>
      <c r="N229" t="str">
        <f>IF(I229="Rob","Robusta",IF(I229="Exc","Excelsa",IF(I229="Ara","Arabica",IF(I229="Lib","Liberica",""))))</f>
        <v>Robusta</v>
      </c>
      <c r="O229" t="str">
        <f t="shared" si="3"/>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f>L230*E230</f>
        <v>17.924999999999997</v>
      </c>
      <c r="N230" t="str">
        <f>IF(I230="Rob","Robusta",IF(I230="Exc","Excelsa",IF(I230="Ara","Arabica",IF(I230="Lib","Liberica",""))))</f>
        <v>Robusta</v>
      </c>
      <c r="O230" t="str">
        <f t="shared" si="3"/>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f>L231*E231</f>
        <v>8.73</v>
      </c>
      <c r="N231" t="str">
        <f>IF(I231="Rob","Robusta",IF(I231="Exc","Excelsa",IF(I231="Ara","Arabica",IF(I231="Lib","Liberica",""))))</f>
        <v>Liberica</v>
      </c>
      <c r="O231" t="str">
        <f t="shared" si="3"/>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f>L232*E232</f>
        <v>51.749999999999993</v>
      </c>
      <c r="N232" t="str">
        <f>IF(I232="Rob","Robusta",IF(I232="Exc","Excelsa",IF(I232="Ara","Arabica",IF(I232="Lib","Liberica",""))))</f>
        <v>Arabica</v>
      </c>
      <c r="O232" t="str">
        <f t="shared" si="3"/>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f>L233*E233</f>
        <v>8.73</v>
      </c>
      <c r="N233" t="str">
        <f>IF(I233="Rob","Robusta",IF(I233="Exc","Excelsa",IF(I233="Ara","Arabica",IF(I233="Lib","Liberica",""))))</f>
        <v>Liberica</v>
      </c>
      <c r="O233" t="str">
        <f t="shared" si="3"/>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f>L234*E234</f>
        <v>23.774999999999999</v>
      </c>
      <c r="N234" t="str">
        <f>IF(I234="Rob","Robusta",IF(I234="Exc","Excelsa",IF(I234="Ara","Arabica",IF(I234="Lib","Liberica",""))))</f>
        <v>Liberica</v>
      </c>
      <c r="O234" t="str">
        <f t="shared" si="3"/>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f>L235*E235</f>
        <v>20.625</v>
      </c>
      <c r="N235" t="str">
        <f>IF(I235="Rob","Robusta",IF(I235="Exc","Excelsa",IF(I235="Ara","Arabica",IF(I235="Lib","Liberica",""))))</f>
        <v>Excelsa</v>
      </c>
      <c r="O235" t="str">
        <f t="shared" si="3"/>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f>L236*E236</f>
        <v>36.454999999999998</v>
      </c>
      <c r="N236" t="str">
        <f>IF(I236="Rob","Robusta",IF(I236="Exc","Excelsa",IF(I236="Ara","Arabica",IF(I236="Lib","Liberica",""))))</f>
        <v>Liberica</v>
      </c>
      <c r="O236" t="str">
        <f t="shared" si="3"/>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f>L237*E237</f>
        <v>182.27499999999998</v>
      </c>
      <c r="N237" t="str">
        <f>IF(I237="Rob","Robusta",IF(I237="Exc","Excelsa",IF(I237="Ara","Arabica",IF(I237="Lib","Liberica",""))))</f>
        <v>Liberica</v>
      </c>
      <c r="O237" t="str">
        <f t="shared" si="3"/>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f>L238*E238</f>
        <v>89.35499999999999</v>
      </c>
      <c r="N238" t="str">
        <f>IF(I238="Rob","Robusta",IF(I238="Exc","Excelsa",IF(I238="Ara","Arabica",IF(I238="Lib","Liberica",""))))</f>
        <v>Liberica</v>
      </c>
      <c r="O238" t="str">
        <f t="shared" si="3"/>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f>L239*E239</f>
        <v>3.5849999999999995</v>
      </c>
      <c r="N239" t="str">
        <f>IF(I239="Rob","Robusta",IF(I239="Exc","Excelsa",IF(I239="Ara","Arabica",IF(I239="Lib","Liberica",""))))</f>
        <v>Robusta</v>
      </c>
      <c r="O239" t="str">
        <f t="shared" si="3"/>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f>L240*E240</f>
        <v>45.769999999999996</v>
      </c>
      <c r="N240" t="str">
        <f>IF(I240="Rob","Robusta",IF(I240="Exc","Excelsa",IF(I240="Ara","Arabica",IF(I240="Lib","Liberica",""))))</f>
        <v>Robusta</v>
      </c>
      <c r="O240" t="str">
        <f t="shared" si="3"/>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f>L241*E241</f>
        <v>59.4</v>
      </c>
      <c r="N241" t="str">
        <f>IF(I241="Rob","Robusta",IF(I241="Exc","Excelsa",IF(I241="Ara","Arabica",IF(I241="Lib","Liberica",""))))</f>
        <v>Excelsa</v>
      </c>
      <c r="O241" t="str">
        <f t="shared" si="3"/>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f>L242*E242</f>
        <v>155.24999999999997</v>
      </c>
      <c r="N242" t="str">
        <f>IF(I242="Rob","Robusta",IF(I242="Exc","Excelsa",IF(I242="Ara","Arabica",IF(I242="Lib","Liberica",""))))</f>
        <v>Arabica</v>
      </c>
      <c r="O242" t="str">
        <f t="shared" si="3"/>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f>L243*E243</f>
        <v>45.769999999999996</v>
      </c>
      <c r="N243" t="str">
        <f>IF(I243="Rob","Robusta",IF(I243="Exc","Excelsa",IF(I243="Ara","Arabica",IF(I243="Lib","Liberica",""))))</f>
        <v>Robusta</v>
      </c>
      <c r="O243" t="str">
        <f t="shared" si="3"/>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f>L244*E244</f>
        <v>36.450000000000003</v>
      </c>
      <c r="N244" t="str">
        <f>IF(I244="Rob","Robusta",IF(I244="Exc","Excelsa",IF(I244="Ara","Arabica",IF(I244="Lib","Liberica",""))))</f>
        <v>Excelsa</v>
      </c>
      <c r="O244" t="str">
        <f t="shared" si="3"/>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f>L245*E245</f>
        <v>29.16</v>
      </c>
      <c r="N245" t="str">
        <f>IF(I245="Rob","Robusta",IF(I245="Exc","Excelsa",IF(I245="Ara","Arabica",IF(I245="Lib","Liberica",""))))</f>
        <v>Excelsa</v>
      </c>
      <c r="O245" t="str">
        <f t="shared" si="3"/>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f>L246*E246</f>
        <v>133.85999999999999</v>
      </c>
      <c r="N246" t="str">
        <f>IF(I246="Rob","Robusta",IF(I246="Exc","Excelsa",IF(I246="Ara","Arabica",IF(I246="Lib","Liberica",""))))</f>
        <v>Liberica</v>
      </c>
      <c r="O246" t="str">
        <f t="shared" si="3"/>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f>L247*E247</f>
        <v>23.774999999999999</v>
      </c>
      <c r="N247" t="str">
        <f>IF(I247="Rob","Robusta",IF(I247="Exc","Excelsa",IF(I247="Ara","Arabica",IF(I247="Lib","Liberica",""))))</f>
        <v>Liberica</v>
      </c>
      <c r="O247" t="str">
        <f t="shared" si="3"/>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f>L248*E248</f>
        <v>38.849999999999994</v>
      </c>
      <c r="N248" t="str">
        <f>IF(I248="Rob","Robusta",IF(I248="Exc","Excelsa",IF(I248="Ara","Arabica",IF(I248="Lib","Liberica",""))))</f>
        <v>Liberica</v>
      </c>
      <c r="O248" t="str">
        <f t="shared" si="3"/>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f>L249*E249</f>
        <v>21.509999999999998</v>
      </c>
      <c r="N249" t="str">
        <f>IF(I249="Rob","Robusta",IF(I249="Exc","Excelsa",IF(I249="Ara","Arabica",IF(I249="Lib","Liberica",""))))</f>
        <v>Robusta</v>
      </c>
      <c r="O249" t="str">
        <f t="shared" si="3"/>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f>L250*E250</f>
        <v>9.9499999999999993</v>
      </c>
      <c r="N250" t="str">
        <f>IF(I250="Rob","Robusta",IF(I250="Exc","Excelsa",IF(I250="Ara","Arabica",IF(I250="Lib","Liberica",""))))</f>
        <v>Arabica</v>
      </c>
      <c r="O250" t="str">
        <f t="shared" si="3"/>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f>L251*E251</f>
        <v>15.85</v>
      </c>
      <c r="N251" t="str">
        <f>IF(I251="Rob","Robusta",IF(I251="Exc","Excelsa",IF(I251="Ara","Arabica",IF(I251="Lib","Liberica",""))))</f>
        <v>Liberica</v>
      </c>
      <c r="O251" t="str">
        <f t="shared" si="3"/>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f>L252*E252</f>
        <v>2.9849999999999999</v>
      </c>
      <c r="N252" t="str">
        <f>IF(I252="Rob","Robusta",IF(I252="Exc","Excelsa",IF(I252="Ara","Arabica",IF(I252="Lib","Liberica",""))))</f>
        <v>Robusta</v>
      </c>
      <c r="O252" t="str">
        <f t="shared" si="3"/>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f>L253*E253</f>
        <v>68.75</v>
      </c>
      <c r="N253" t="str">
        <f>IF(I253="Rob","Robusta",IF(I253="Exc","Excelsa",IF(I253="Ara","Arabica",IF(I253="Lib","Liberica",""))))</f>
        <v>Excelsa</v>
      </c>
      <c r="O253" t="str">
        <f t="shared" si="3"/>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f>L254*E254</f>
        <v>29.849999999999998</v>
      </c>
      <c r="N254" t="str">
        <f>IF(I254="Rob","Robusta",IF(I254="Exc","Excelsa",IF(I254="Ara","Arabica",IF(I254="Lib","Liberica",""))))</f>
        <v>Arabica</v>
      </c>
      <c r="O254" t="str">
        <f t="shared" si="3"/>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f>L255*E255</f>
        <v>58.2</v>
      </c>
      <c r="N255" t="str">
        <f>IF(I255="Rob","Robusta",IF(I255="Exc","Excelsa",IF(I255="Ara","Arabica",IF(I255="Lib","Liberica",""))))</f>
        <v>Liberica</v>
      </c>
      <c r="O255" t="str">
        <f t="shared" si="3"/>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f>L256*E256</f>
        <v>28.679999999999996</v>
      </c>
      <c r="N256" t="str">
        <f>IF(I256="Rob","Robusta",IF(I256="Exc","Excelsa",IF(I256="Ara","Arabica",IF(I256="Lib","Liberica",""))))</f>
        <v>Robusta</v>
      </c>
      <c r="O256" t="str">
        <f t="shared" si="3"/>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f>L257*E257</f>
        <v>21.509999999999998</v>
      </c>
      <c r="N257" t="str">
        <f>IF(I257="Rob","Robusta",IF(I257="Exc","Excelsa",IF(I257="Ara","Arabica",IF(I257="Lib","Liberica",""))))</f>
        <v>Robusta</v>
      </c>
      <c r="O257" t="str">
        <f t="shared" si="3"/>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f>L258*E258</f>
        <v>17.46</v>
      </c>
      <c r="N258" t="str">
        <f>IF(I258="Rob","Robusta",IF(I258="Exc","Excelsa",IF(I258="Ara","Arabica",IF(I258="Lib","Liberica",""))))</f>
        <v>Liberica</v>
      </c>
      <c r="O258" t="str">
        <f t="shared" ref="O258:O321" si="4">IF(J258="M","Medium",IF(J258="L","Light",IF(J258="D","Dark","")))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f>L259*E259</f>
        <v>27.945</v>
      </c>
      <c r="N259" t="str">
        <f>IF(I259="Rob","Robusta",IF(I259="Exc","Excelsa",IF(I259="Ara","Arabica",IF(I259="Lib","Liberica",""))))</f>
        <v>Excelsa</v>
      </c>
      <c r="O259" t="str">
        <f t="shared" si="4"/>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f>L260*E260</f>
        <v>139.72499999999999</v>
      </c>
      <c r="N260" t="str">
        <f>IF(I260="Rob","Robusta",IF(I260="Exc","Excelsa",IF(I260="Ara","Arabica",IF(I260="Lib","Liberica",""))))</f>
        <v>Excelsa</v>
      </c>
      <c r="O260" t="str">
        <f t="shared" si="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f>L261*E261</f>
        <v>5.97</v>
      </c>
      <c r="N261" t="str">
        <f>IF(I261="Rob","Robusta",IF(I261="Exc","Excelsa",IF(I261="Ara","Arabica",IF(I261="Lib","Liberica",""))))</f>
        <v>Robusta</v>
      </c>
      <c r="O261" t="str">
        <f t="shared" si="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f>L262*E262</f>
        <v>27.484999999999996</v>
      </c>
      <c r="N262" t="str">
        <f>IF(I262="Rob","Robusta",IF(I262="Exc","Excelsa",IF(I262="Ara","Arabica",IF(I262="Lib","Liberica",""))))</f>
        <v>Robusta</v>
      </c>
      <c r="O262" t="str">
        <f t="shared" si="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f>L263*E263</f>
        <v>59.75</v>
      </c>
      <c r="N263" t="str">
        <f>IF(I263="Rob","Robusta",IF(I263="Exc","Excelsa",IF(I263="Ara","Arabica",IF(I263="Lib","Liberica",""))))</f>
        <v>Robusta</v>
      </c>
      <c r="O263" t="str">
        <f t="shared" si="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f>L264*E264</f>
        <v>41.25</v>
      </c>
      <c r="N264" t="str">
        <f>IF(I264="Rob","Robusta",IF(I264="Exc","Excelsa",IF(I264="Ara","Arabica",IF(I264="Lib","Liberica",""))))</f>
        <v>Excelsa</v>
      </c>
      <c r="O264" t="str">
        <f t="shared" si="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f>L265*E265</f>
        <v>133.85999999999999</v>
      </c>
      <c r="N265" t="str">
        <f>IF(I265="Rob","Robusta",IF(I265="Exc","Excelsa",IF(I265="Ara","Arabica",IF(I265="Lib","Liberica",""))))</f>
        <v>Liberica</v>
      </c>
      <c r="O265" t="str">
        <f t="shared" si="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f>L266*E266</f>
        <v>59.75</v>
      </c>
      <c r="N266" t="str">
        <f>IF(I266="Rob","Robusta",IF(I266="Exc","Excelsa",IF(I266="Ara","Arabica",IF(I266="Lib","Liberica",""))))</f>
        <v>Robusta</v>
      </c>
      <c r="O266" t="str">
        <f t="shared" si="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f>L267*E267</f>
        <v>5.97</v>
      </c>
      <c r="N267" t="str">
        <f>IF(I267="Rob","Robusta",IF(I267="Exc","Excelsa",IF(I267="Ara","Arabica",IF(I267="Lib","Liberica",""))))</f>
        <v>Arabica</v>
      </c>
      <c r="O267" t="str">
        <f t="shared" si="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f>L268*E268</f>
        <v>24.3</v>
      </c>
      <c r="N268" t="str">
        <f>IF(I268="Rob","Robusta",IF(I268="Exc","Excelsa",IF(I268="Ara","Arabica",IF(I268="Lib","Liberica",""))))</f>
        <v>Excelsa</v>
      </c>
      <c r="O268" t="str">
        <f t="shared" si="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f>L269*E269</f>
        <v>21.87</v>
      </c>
      <c r="N269" t="str">
        <f>IF(I269="Rob","Robusta",IF(I269="Exc","Excelsa",IF(I269="Ara","Arabica",IF(I269="Lib","Liberica",""))))</f>
        <v>Excelsa</v>
      </c>
      <c r="O269" t="str">
        <f t="shared" si="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f>L270*E270</f>
        <v>19.899999999999999</v>
      </c>
      <c r="N270" t="str">
        <f>IF(I270="Rob","Robusta",IF(I270="Exc","Excelsa",IF(I270="Ara","Arabica",IF(I270="Lib","Liberica",""))))</f>
        <v>Arabica</v>
      </c>
      <c r="O270" t="str">
        <f t="shared" si="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f>L271*E271</f>
        <v>5.97</v>
      </c>
      <c r="N271" t="str">
        <f>IF(I271="Rob","Robusta",IF(I271="Exc","Excelsa",IF(I271="Ara","Arabica",IF(I271="Lib","Liberica",""))))</f>
        <v>Arabica</v>
      </c>
      <c r="O271" t="str">
        <f t="shared" si="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f>L272*E272</f>
        <v>7.29</v>
      </c>
      <c r="N272" t="str">
        <f>IF(I272="Rob","Robusta",IF(I272="Exc","Excelsa",IF(I272="Ara","Arabica",IF(I272="Lib","Liberica",""))))</f>
        <v>Excelsa</v>
      </c>
      <c r="O272" t="str">
        <f t="shared" si="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f>L273*E273</f>
        <v>11.94</v>
      </c>
      <c r="N273" t="str">
        <f>IF(I273="Rob","Robusta",IF(I273="Exc","Excelsa",IF(I273="Ara","Arabica",IF(I273="Lib","Liberica",""))))</f>
        <v>Arabica</v>
      </c>
      <c r="O273" t="str">
        <f t="shared" si="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f>L274*E274</f>
        <v>71.699999999999989</v>
      </c>
      <c r="N274" t="str">
        <f>IF(I274="Rob","Robusta",IF(I274="Exc","Excelsa",IF(I274="Ara","Arabica",IF(I274="Lib","Liberica",""))))</f>
        <v>Robusta</v>
      </c>
      <c r="O274" t="str">
        <f t="shared" si="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f>L275*E275</f>
        <v>7.77</v>
      </c>
      <c r="N275" t="str">
        <f>IF(I275="Rob","Robusta",IF(I275="Exc","Excelsa",IF(I275="Ara","Arabica",IF(I275="Lib","Liberica",""))))</f>
        <v>Arabica</v>
      </c>
      <c r="O275" t="str">
        <f t="shared" si="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f>L276*E276</f>
        <v>25.874999999999996</v>
      </c>
      <c r="N276" t="str">
        <f>IF(I276="Rob","Robusta",IF(I276="Exc","Excelsa",IF(I276="Ara","Arabica",IF(I276="Lib","Liberica",""))))</f>
        <v>Arabica</v>
      </c>
      <c r="O276" t="str">
        <f t="shared" si="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f>L277*E277</f>
        <v>204.92999999999995</v>
      </c>
      <c r="N277" t="str">
        <f>IF(I277="Rob","Robusta",IF(I277="Exc","Excelsa",IF(I277="Ara","Arabica",IF(I277="Lib","Liberica",""))))</f>
        <v>Excelsa</v>
      </c>
      <c r="O277" t="str">
        <f t="shared" si="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f>L278*E278</f>
        <v>109.93999999999998</v>
      </c>
      <c r="N278" t="str">
        <f>IF(I278="Rob","Robusta",IF(I278="Exc","Excelsa",IF(I278="Ara","Arabica",IF(I278="Lib","Liberica",""))))</f>
        <v>Robusta</v>
      </c>
      <c r="O278" t="str">
        <f t="shared" si="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f>L279*E279</f>
        <v>89.1</v>
      </c>
      <c r="N279" t="str">
        <f>IF(I279="Rob","Robusta",IF(I279="Exc","Excelsa",IF(I279="Ara","Arabica",IF(I279="Lib","Liberica",""))))</f>
        <v>Excelsa</v>
      </c>
      <c r="O279" t="str">
        <f t="shared" si="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f>L280*E280</f>
        <v>7.77</v>
      </c>
      <c r="N280" t="str">
        <f>IF(I280="Rob","Robusta",IF(I280="Exc","Excelsa",IF(I280="Ara","Arabica",IF(I280="Lib","Liberica",""))))</f>
        <v>Arabica</v>
      </c>
      <c r="O280" t="str">
        <f t="shared" si="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f>L281*E281</f>
        <v>33.464999999999996</v>
      </c>
      <c r="N281" t="str">
        <f>IF(I281="Rob","Robusta",IF(I281="Exc","Excelsa",IF(I281="Ara","Arabica",IF(I281="Lib","Liberica",""))))</f>
        <v>Liberica</v>
      </c>
      <c r="O281" t="str">
        <f t="shared" si="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f>L282*E282</f>
        <v>41.25</v>
      </c>
      <c r="N282" t="str">
        <f>IF(I282="Rob","Robusta",IF(I282="Exc","Excelsa",IF(I282="Ara","Arabica",IF(I282="Lib","Liberica",""))))</f>
        <v>Excelsa</v>
      </c>
      <c r="O282" t="str">
        <f t="shared" si="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f>L283*E283</f>
        <v>59.4</v>
      </c>
      <c r="N283" t="str">
        <f>IF(I283="Rob","Robusta",IF(I283="Exc","Excelsa",IF(I283="Ara","Arabica",IF(I283="Lib","Liberica",""))))</f>
        <v>Excelsa</v>
      </c>
      <c r="O283" t="str">
        <f t="shared" si="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f>L284*E284</f>
        <v>7.77</v>
      </c>
      <c r="N284" t="str">
        <f>IF(I284="Rob","Robusta",IF(I284="Exc","Excelsa",IF(I284="Ara","Arabica",IF(I284="Lib","Liberica",""))))</f>
        <v>Arabica</v>
      </c>
      <c r="O284" t="str">
        <f t="shared" si="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f>L285*E285</f>
        <v>5.3699999999999992</v>
      </c>
      <c r="N285" t="str">
        <f>IF(I285="Rob","Robusta",IF(I285="Exc","Excelsa",IF(I285="Ara","Arabica",IF(I285="Lib","Liberica",""))))</f>
        <v>Robusta</v>
      </c>
      <c r="O285" t="str">
        <f t="shared" si="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f>L286*E286</f>
        <v>94.874999999999986</v>
      </c>
      <c r="N286" t="str">
        <f>IF(I286="Rob","Robusta",IF(I286="Exc","Excelsa",IF(I286="Ara","Arabica",IF(I286="Lib","Liberica",""))))</f>
        <v>Excelsa</v>
      </c>
      <c r="O286" t="str">
        <f t="shared" si="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f>L287*E287</f>
        <v>36.454999999999998</v>
      </c>
      <c r="N287" t="str">
        <f>IF(I287="Rob","Robusta",IF(I287="Exc","Excelsa",IF(I287="Ara","Arabica",IF(I287="Lib","Liberica",""))))</f>
        <v>Liberica</v>
      </c>
      <c r="O287" t="str">
        <f t="shared" si="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f>L288*E288</f>
        <v>13.5</v>
      </c>
      <c r="N288" t="str">
        <f>IF(I288="Rob","Robusta",IF(I288="Exc","Excelsa",IF(I288="Ara","Arabica",IF(I288="Lib","Liberica",""))))</f>
        <v>Arabica</v>
      </c>
      <c r="O288" t="str">
        <f t="shared" si="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f>L289*E289</f>
        <v>14.339999999999998</v>
      </c>
      <c r="N289" t="str">
        <f>IF(I289="Rob","Robusta",IF(I289="Exc","Excelsa",IF(I289="Ara","Arabica",IF(I289="Lib","Liberica",""))))</f>
        <v>Robusta</v>
      </c>
      <c r="O289" t="str">
        <f t="shared" si="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f>L290*E290</f>
        <v>8.25</v>
      </c>
      <c r="N290" t="str">
        <f>IF(I290="Rob","Robusta",IF(I290="Exc","Excelsa",IF(I290="Ara","Arabica",IF(I290="Lib","Liberica",""))))</f>
        <v>Excelsa</v>
      </c>
      <c r="O290" t="str">
        <f t="shared" si="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f>L291*E291</f>
        <v>13.424999999999997</v>
      </c>
      <c r="N291" t="str">
        <f>IF(I291="Rob","Robusta",IF(I291="Exc","Excelsa",IF(I291="Ara","Arabica",IF(I291="Lib","Liberica",""))))</f>
        <v>Robusta</v>
      </c>
      <c r="O291" t="str">
        <f t="shared" si="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f>L292*E292</f>
        <v>49.75</v>
      </c>
      <c r="N292" t="str">
        <f>IF(I292="Rob","Robusta",IF(I292="Exc","Excelsa",IF(I292="Ara","Arabica",IF(I292="Lib","Liberica",""))))</f>
        <v>Arabica</v>
      </c>
      <c r="O292" t="str">
        <f t="shared" si="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f>L293*E293</f>
        <v>16.5</v>
      </c>
      <c r="N293" t="str">
        <f>IF(I293="Rob","Robusta",IF(I293="Exc","Excelsa",IF(I293="Ara","Arabica",IF(I293="Lib","Liberica",""))))</f>
        <v>Excelsa</v>
      </c>
      <c r="O293" t="str">
        <f t="shared" si="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f>L294*E294</f>
        <v>17.91</v>
      </c>
      <c r="N294" t="str">
        <f>IF(I294="Rob","Robusta",IF(I294="Exc","Excelsa",IF(I294="Ara","Arabica",IF(I294="Lib","Liberica",""))))</f>
        <v>Arabica</v>
      </c>
      <c r="O294" t="str">
        <f t="shared" si="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f>L295*E295</f>
        <v>29.849999999999998</v>
      </c>
      <c r="N295" t="str">
        <f>IF(I295="Rob","Robusta",IF(I295="Exc","Excelsa",IF(I295="Ara","Arabica",IF(I295="Lib","Liberica",""))))</f>
        <v>Arabica</v>
      </c>
      <c r="O295" t="str">
        <f t="shared" si="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f>L296*E296</f>
        <v>44.55</v>
      </c>
      <c r="N296" t="str">
        <f>IF(I296="Rob","Robusta",IF(I296="Exc","Excelsa",IF(I296="Ara","Arabica",IF(I296="Lib","Liberica",""))))</f>
        <v>Excelsa</v>
      </c>
      <c r="O296" t="str">
        <f t="shared" si="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f>L297*E297</f>
        <v>27.5</v>
      </c>
      <c r="N297" t="str">
        <f>IF(I297="Rob","Robusta",IF(I297="Exc","Excelsa",IF(I297="Ara","Arabica",IF(I297="Lib","Liberica",""))))</f>
        <v>Excelsa</v>
      </c>
      <c r="O297" t="str">
        <f t="shared" si="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f>L298*E298</f>
        <v>35.82</v>
      </c>
      <c r="N298" t="str">
        <f>IF(I298="Rob","Robusta",IF(I298="Exc","Excelsa",IF(I298="Ara","Arabica",IF(I298="Lib","Liberica",""))))</f>
        <v>Robusta</v>
      </c>
      <c r="O298" t="str">
        <f t="shared" si="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f>L299*E299</f>
        <v>16.11</v>
      </c>
      <c r="N299" t="str">
        <f>IF(I299="Rob","Robusta",IF(I299="Exc","Excelsa",IF(I299="Ara","Arabica",IF(I299="Lib","Liberica",""))))</f>
        <v>Robusta</v>
      </c>
      <c r="O299" t="str">
        <f t="shared" si="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f>L300*E300</f>
        <v>26.73</v>
      </c>
      <c r="N300" t="str">
        <f>IF(I300="Rob","Robusta",IF(I300="Exc","Excelsa",IF(I300="Ara","Arabica",IF(I300="Lib","Liberica",""))))</f>
        <v>Excelsa</v>
      </c>
      <c r="O300" t="str">
        <f t="shared" si="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f>L301*E301</f>
        <v>204.92999999999995</v>
      </c>
      <c r="N301" t="str">
        <f>IF(I301="Rob","Robusta",IF(I301="Exc","Excelsa",IF(I301="Ara","Arabica",IF(I301="Lib","Liberica",""))))</f>
        <v>Excelsa</v>
      </c>
      <c r="O301" t="str">
        <f t="shared" si="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f>L302*E302</f>
        <v>38.849999999999994</v>
      </c>
      <c r="N302" t="str">
        <f>IF(I302="Rob","Robusta",IF(I302="Exc","Excelsa",IF(I302="Ara","Arabica",IF(I302="Lib","Liberica",""))))</f>
        <v>Arabica</v>
      </c>
      <c r="O302" t="str">
        <f t="shared" si="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f>L303*E303</f>
        <v>15.54</v>
      </c>
      <c r="N303" t="str">
        <f>IF(I303="Rob","Robusta",IF(I303="Exc","Excelsa",IF(I303="Ara","Arabica",IF(I303="Lib","Liberica",""))))</f>
        <v>Liberica</v>
      </c>
      <c r="O303" t="str">
        <f t="shared" si="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f>L304*E304</f>
        <v>6.75</v>
      </c>
      <c r="N304" t="str">
        <f>IF(I304="Rob","Robusta",IF(I304="Exc","Excelsa",IF(I304="Ara","Arabica",IF(I304="Lib","Liberica",""))))</f>
        <v>Arabica</v>
      </c>
      <c r="O304" t="str">
        <f t="shared" si="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f>L305*E305</f>
        <v>111.78</v>
      </c>
      <c r="N305" t="str">
        <f>IF(I305="Rob","Robusta",IF(I305="Exc","Excelsa",IF(I305="Ara","Arabica",IF(I305="Lib","Liberica",""))))</f>
        <v>Excelsa</v>
      </c>
      <c r="O305" t="str">
        <f t="shared" si="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f>L306*E306</f>
        <v>3.8849999999999998</v>
      </c>
      <c r="N306" t="str">
        <f>IF(I306="Rob","Robusta",IF(I306="Exc","Excelsa",IF(I306="Ara","Arabica",IF(I306="Lib","Liberica",""))))</f>
        <v>Arabica</v>
      </c>
      <c r="O306" t="str">
        <f t="shared" si="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f>L307*E307</f>
        <v>21.825000000000003</v>
      </c>
      <c r="N307" t="str">
        <f>IF(I307="Rob","Robusta",IF(I307="Exc","Excelsa",IF(I307="Ara","Arabica",IF(I307="Lib","Liberica",""))))</f>
        <v>Liberica</v>
      </c>
      <c r="O307" t="str">
        <f t="shared" si="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f>L308*E308</f>
        <v>14.924999999999999</v>
      </c>
      <c r="N308" t="str">
        <f>IF(I308="Rob","Robusta",IF(I308="Exc","Excelsa",IF(I308="Ara","Arabica",IF(I308="Lib","Liberica",""))))</f>
        <v>Robusta</v>
      </c>
      <c r="O308" t="str">
        <f t="shared" si="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f>L309*E309</f>
        <v>33.75</v>
      </c>
      <c r="N309" t="str">
        <f>IF(I309="Rob","Robusta",IF(I309="Exc","Excelsa",IF(I309="Ara","Arabica",IF(I309="Lib","Liberica",""))))</f>
        <v>Arabica</v>
      </c>
      <c r="O309" t="str">
        <f t="shared" si="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f>L310*E310</f>
        <v>33.75</v>
      </c>
      <c r="N310" t="str">
        <f>IF(I310="Rob","Robusta",IF(I310="Exc","Excelsa",IF(I310="Ara","Arabica",IF(I310="Lib","Liberica",""))))</f>
        <v>Arabica</v>
      </c>
      <c r="O310" t="str">
        <f t="shared" si="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f>L311*E311</f>
        <v>26.19</v>
      </c>
      <c r="N311" t="str">
        <f>IF(I311="Rob","Robusta",IF(I311="Exc","Excelsa",IF(I311="Ara","Arabica",IF(I311="Lib","Liberica",""))))</f>
        <v>Liberica</v>
      </c>
      <c r="O311" t="str">
        <f t="shared" si="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f>L312*E312</f>
        <v>14.85</v>
      </c>
      <c r="N312" t="str">
        <f>IF(I312="Rob","Robusta",IF(I312="Exc","Excelsa",IF(I312="Ara","Arabica",IF(I312="Lib","Liberica",""))))</f>
        <v>Excelsa</v>
      </c>
      <c r="O312" t="str">
        <f t="shared" si="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f>L313*E313</f>
        <v>189.74999999999997</v>
      </c>
      <c r="N313" t="str">
        <f>IF(I313="Rob","Robusta",IF(I313="Exc","Excelsa",IF(I313="Ara","Arabica",IF(I313="Lib","Liberica",""))))</f>
        <v>Excelsa</v>
      </c>
      <c r="O313" t="str">
        <f t="shared" si="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f>L314*E314</f>
        <v>5.97</v>
      </c>
      <c r="N314" t="str">
        <f>IF(I314="Rob","Robusta",IF(I314="Exc","Excelsa",IF(I314="Ara","Arabica",IF(I314="Lib","Liberica",""))))</f>
        <v>Robusta</v>
      </c>
      <c r="O314" t="str">
        <f t="shared" si="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f>L315*E315</f>
        <v>29.849999999999998</v>
      </c>
      <c r="N315" t="str">
        <f>IF(I315="Rob","Robusta",IF(I315="Exc","Excelsa",IF(I315="Ara","Arabica",IF(I315="Lib","Liberica",""))))</f>
        <v>Robusta</v>
      </c>
      <c r="O315" t="str">
        <f t="shared" si="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f>L316*E316</f>
        <v>44.75</v>
      </c>
      <c r="N316" t="str">
        <f>IF(I316="Rob","Robusta",IF(I316="Exc","Excelsa",IF(I316="Ara","Arabica",IF(I316="Lib","Liberica",""))))</f>
        <v>Robusta</v>
      </c>
      <c r="O316" t="str">
        <f t="shared" si="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f>L317*E317</f>
        <v>34.154999999999994</v>
      </c>
      <c r="N317" t="str">
        <f>IF(I317="Rob","Robusta",IF(I317="Exc","Excelsa",IF(I317="Ara","Arabica",IF(I317="Lib","Liberica",""))))</f>
        <v>Excelsa</v>
      </c>
      <c r="O317" t="str">
        <f t="shared" si="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f>L318*E318</f>
        <v>204.92999999999995</v>
      </c>
      <c r="N318" t="str">
        <f>IF(I318="Rob","Robusta",IF(I318="Exc","Excelsa",IF(I318="Ara","Arabica",IF(I318="Lib","Liberica",""))))</f>
        <v>Excelsa</v>
      </c>
      <c r="O318" t="str">
        <f t="shared" si="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f>L319*E319</f>
        <v>21.87</v>
      </c>
      <c r="N319" t="str">
        <f>IF(I319="Rob","Robusta",IF(I319="Exc","Excelsa",IF(I319="Ara","Arabica",IF(I319="Lib","Liberica",""))))</f>
        <v>Excelsa</v>
      </c>
      <c r="O319" t="str">
        <f t="shared" si="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f>L320*E320</f>
        <v>51.749999999999993</v>
      </c>
      <c r="N320" t="str">
        <f>IF(I320="Rob","Robusta",IF(I320="Exc","Excelsa",IF(I320="Ara","Arabica",IF(I320="Lib","Liberica",""))))</f>
        <v>Arabica</v>
      </c>
      <c r="O320" t="str">
        <f t="shared" si="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f>L321*E321</f>
        <v>8.25</v>
      </c>
      <c r="N321" t="str">
        <f>IF(I321="Rob","Robusta",IF(I321="Exc","Excelsa",IF(I321="Ara","Arabica",IF(I321="Lib","Liberica",""))))</f>
        <v>Excelsa</v>
      </c>
      <c r="O321" t="str">
        <f t="shared" si="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f>L322*E322</f>
        <v>19.424999999999997</v>
      </c>
      <c r="N322" t="str">
        <f>IF(I322="Rob","Robusta",IF(I322="Exc","Excelsa",IF(I322="Ara","Arabica",IF(I322="Lib","Liberica",""))))</f>
        <v>Arabica</v>
      </c>
      <c r="O322" t="str">
        <f t="shared" ref="O322:O385" si="5">IF(J322="M","Medium",IF(J322="L","Light",IF(J322="D","Dark","")))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f>L323*E323</f>
        <v>20.25</v>
      </c>
      <c r="N323" t="str">
        <f>IF(I323="Rob","Robusta",IF(I323="Exc","Excelsa",IF(I323="Ara","Arabica",IF(I323="Lib","Liberica",""))))</f>
        <v>Arabica</v>
      </c>
      <c r="O323" t="str">
        <f t="shared" si="5"/>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f>L324*E324</f>
        <v>23.31</v>
      </c>
      <c r="N324" t="str">
        <f>IF(I324="Rob","Robusta",IF(I324="Exc","Excelsa",IF(I324="Ara","Arabica",IF(I324="Lib","Liberica",""))))</f>
        <v>Liberica</v>
      </c>
      <c r="O324" t="str">
        <f t="shared" si="5"/>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f>L325*E325</f>
        <v>18.225000000000001</v>
      </c>
      <c r="N325" t="str">
        <f>IF(I325="Rob","Robusta",IF(I325="Exc","Excelsa",IF(I325="Ara","Arabica",IF(I325="Lib","Liberica",""))))</f>
        <v>Excelsa</v>
      </c>
      <c r="O325" t="str">
        <f t="shared" si="5"/>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f>L326*E326</f>
        <v>13.75</v>
      </c>
      <c r="N326" t="str">
        <f>IF(I326="Rob","Robusta",IF(I326="Exc","Excelsa",IF(I326="Ara","Arabica",IF(I326="Lib","Liberica",""))))</f>
        <v>Excelsa</v>
      </c>
      <c r="O326" t="str">
        <f t="shared" si="5"/>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f>L327*E327</f>
        <v>29.784999999999997</v>
      </c>
      <c r="N327" t="str">
        <f>IF(I327="Rob","Robusta",IF(I327="Exc","Excelsa",IF(I327="Ara","Arabica",IF(I327="Lib","Liberica",""))))</f>
        <v>Arabica</v>
      </c>
      <c r="O327" t="str">
        <f t="shared" si="5"/>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f>L328*E328</f>
        <v>44.75</v>
      </c>
      <c r="N328" t="str">
        <f>IF(I328="Rob","Robusta",IF(I328="Exc","Excelsa",IF(I328="Ara","Arabica",IF(I328="Lib","Liberica",""))))</f>
        <v>Robusta</v>
      </c>
      <c r="O328" t="str">
        <f t="shared" si="5"/>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f>L329*E329</f>
        <v>44.75</v>
      </c>
      <c r="N329" t="str">
        <f>IF(I329="Rob","Robusta",IF(I329="Exc","Excelsa",IF(I329="Ara","Arabica",IF(I329="Lib","Liberica",""))))</f>
        <v>Robusta</v>
      </c>
      <c r="O329" t="str">
        <f t="shared" si="5"/>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f>L330*E330</f>
        <v>38.04</v>
      </c>
      <c r="N330" t="str">
        <f>IF(I330="Rob","Robusta",IF(I330="Exc","Excelsa",IF(I330="Ara","Arabica",IF(I330="Lib","Liberica",""))))</f>
        <v>Liberica</v>
      </c>
      <c r="O330" t="str">
        <f t="shared" si="5"/>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f>L331*E331</f>
        <v>21.479999999999997</v>
      </c>
      <c r="N331" t="str">
        <f>IF(I331="Rob","Robusta",IF(I331="Exc","Excelsa",IF(I331="Ara","Arabica",IF(I331="Lib","Liberica",""))))</f>
        <v>Robusta</v>
      </c>
      <c r="O331" t="str">
        <f t="shared" si="5"/>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f>L332*E332</f>
        <v>16.11</v>
      </c>
      <c r="N332" t="str">
        <f>IF(I332="Rob","Robusta",IF(I332="Exc","Excelsa",IF(I332="Ara","Arabica",IF(I332="Lib","Liberica",""))))</f>
        <v>Robusta</v>
      </c>
      <c r="O332" t="str">
        <f t="shared" si="5"/>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f>L333*E333</f>
        <v>22.884999999999998</v>
      </c>
      <c r="N333" t="str">
        <f>IF(I333="Rob","Robusta",IF(I333="Exc","Excelsa",IF(I333="Ara","Arabica",IF(I333="Lib","Liberica",""))))</f>
        <v>Robusta</v>
      </c>
      <c r="O333" t="str">
        <f t="shared" si="5"/>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f>L334*E334</f>
        <v>17.91</v>
      </c>
      <c r="N334" t="str">
        <f>IF(I334="Rob","Robusta",IF(I334="Exc","Excelsa",IF(I334="Ara","Arabica",IF(I334="Lib","Liberica",""))))</f>
        <v>Arabica</v>
      </c>
      <c r="O334" t="str">
        <f t="shared" si="5"/>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f>L335*E335</f>
        <v>23.88</v>
      </c>
      <c r="N335" t="str">
        <f>IF(I335="Rob","Robusta",IF(I335="Exc","Excelsa",IF(I335="Ara","Arabica",IF(I335="Lib","Liberica",""))))</f>
        <v>Robusta</v>
      </c>
      <c r="O335" t="str">
        <f t="shared" si="5"/>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f>L336*E336</f>
        <v>59.75</v>
      </c>
      <c r="N336" t="str">
        <f>IF(I336="Rob","Robusta",IF(I336="Exc","Excelsa",IF(I336="Ara","Arabica",IF(I336="Lib","Liberica",""))))</f>
        <v>Robusta</v>
      </c>
      <c r="O336" t="str">
        <f t="shared" si="5"/>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f>L337*E337</f>
        <v>28.53</v>
      </c>
      <c r="N337" t="str">
        <f>IF(I337="Rob","Robusta",IF(I337="Exc","Excelsa",IF(I337="Ara","Arabica",IF(I337="Lib","Liberica",""))))</f>
        <v>Liberica</v>
      </c>
      <c r="O337" t="str">
        <f t="shared" si="5"/>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f>L338*E338</f>
        <v>45</v>
      </c>
      <c r="N338" t="str">
        <f>IF(I338="Rob","Robusta",IF(I338="Exc","Excelsa",IF(I338="Ara","Arabica",IF(I338="Lib","Liberica",""))))</f>
        <v>Arabica</v>
      </c>
      <c r="O338" t="str">
        <f t="shared" si="5"/>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f>L339*E339</f>
        <v>55.89</v>
      </c>
      <c r="N339" t="str">
        <f>IF(I339="Rob","Robusta",IF(I339="Exc","Excelsa",IF(I339="Ara","Arabica",IF(I339="Lib","Liberica",""))))</f>
        <v>Excelsa</v>
      </c>
      <c r="O339" t="str">
        <f t="shared" si="5"/>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f>L340*E340</f>
        <v>59.4</v>
      </c>
      <c r="N340" t="str">
        <f>IF(I340="Rob","Robusta",IF(I340="Exc","Excelsa",IF(I340="Ara","Arabica",IF(I340="Lib","Liberica",""))))</f>
        <v>Excelsa</v>
      </c>
      <c r="O340" t="str">
        <f t="shared" si="5"/>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f>L341*E341</f>
        <v>7.29</v>
      </c>
      <c r="N341" t="str">
        <f>IF(I341="Rob","Robusta",IF(I341="Exc","Excelsa",IF(I341="Ara","Arabica",IF(I341="Lib","Liberica",""))))</f>
        <v>Excelsa</v>
      </c>
      <c r="O341" t="str">
        <f t="shared" si="5"/>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f>L342*E342</f>
        <v>7.29</v>
      </c>
      <c r="N342" t="str">
        <f>IF(I342="Rob","Robusta",IF(I342="Exc","Excelsa",IF(I342="Ara","Arabica",IF(I342="Lib","Liberica",""))))</f>
        <v>Excelsa</v>
      </c>
      <c r="O342" t="str">
        <f t="shared" si="5"/>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f>L343*E343</f>
        <v>17.82</v>
      </c>
      <c r="N343" t="str">
        <f>IF(I343="Rob","Robusta",IF(I343="Exc","Excelsa",IF(I343="Ara","Arabica",IF(I343="Lib","Liberica",""))))</f>
        <v>Excelsa</v>
      </c>
      <c r="O343" t="str">
        <f t="shared" si="5"/>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f>L344*E344</f>
        <v>38.849999999999994</v>
      </c>
      <c r="N344" t="str">
        <f>IF(I344="Rob","Robusta",IF(I344="Exc","Excelsa",IF(I344="Ara","Arabica",IF(I344="Lib","Liberica",""))))</f>
        <v>Liberica</v>
      </c>
      <c r="O344" t="str">
        <f t="shared" si="5"/>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f>L345*E345</f>
        <v>32.22</v>
      </c>
      <c r="N345" t="str">
        <f>IF(I345="Rob","Robusta",IF(I345="Exc","Excelsa",IF(I345="Ara","Arabica",IF(I345="Lib","Liberica",""))))</f>
        <v>Robusta</v>
      </c>
      <c r="O345" t="str">
        <f t="shared" si="5"/>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f>L346*E346</f>
        <v>19.899999999999999</v>
      </c>
      <c r="N346" t="str">
        <f>IF(I346="Rob","Robusta",IF(I346="Exc","Excelsa",IF(I346="Ara","Arabica",IF(I346="Lib","Liberica",""))))</f>
        <v>Robusta</v>
      </c>
      <c r="O346" t="str">
        <f t="shared" si="5"/>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f>L347*E347</f>
        <v>59.75</v>
      </c>
      <c r="N347" t="str">
        <f>IF(I347="Rob","Robusta",IF(I347="Exc","Excelsa",IF(I347="Ara","Arabica",IF(I347="Lib","Liberica",""))))</f>
        <v>Robusta</v>
      </c>
      <c r="O347" t="str">
        <f t="shared" si="5"/>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f>L348*E348</f>
        <v>23.31</v>
      </c>
      <c r="N348" t="str">
        <f>IF(I348="Rob","Robusta",IF(I348="Exc","Excelsa",IF(I348="Ara","Arabica",IF(I348="Lib","Liberica",""))))</f>
        <v>Arabica</v>
      </c>
      <c r="O348" t="str">
        <f t="shared" si="5"/>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f>L349*E349</f>
        <v>43.650000000000006</v>
      </c>
      <c r="N349" t="str">
        <f>IF(I349="Rob","Robusta",IF(I349="Exc","Excelsa",IF(I349="Ara","Arabica",IF(I349="Lib","Liberica",""))))</f>
        <v>Liberica</v>
      </c>
      <c r="O349" t="str">
        <f t="shared" si="5"/>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f>L350*E350</f>
        <v>204.92999999999995</v>
      </c>
      <c r="N350" t="str">
        <f>IF(I350="Rob","Robusta",IF(I350="Exc","Excelsa",IF(I350="Ara","Arabica",IF(I350="Lib","Liberica",""))))</f>
        <v>Excelsa</v>
      </c>
      <c r="O350" t="str">
        <f t="shared" si="5"/>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f>L351*E351</f>
        <v>14.339999999999998</v>
      </c>
      <c r="N351" t="str">
        <f>IF(I351="Rob","Robusta",IF(I351="Exc","Excelsa",IF(I351="Ara","Arabica",IF(I351="Lib","Liberica",""))))</f>
        <v>Robusta</v>
      </c>
      <c r="O351" t="str">
        <f t="shared" si="5"/>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f>L352*E352</f>
        <v>23.88</v>
      </c>
      <c r="N352" t="str">
        <f>IF(I352="Rob","Robusta",IF(I352="Exc","Excelsa",IF(I352="Ara","Arabica",IF(I352="Lib","Liberica",""))))</f>
        <v>Arabica</v>
      </c>
      <c r="O352" t="str">
        <f t="shared" si="5"/>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f>L353*E353</f>
        <v>22.5</v>
      </c>
      <c r="N353" t="str">
        <f>IF(I353="Rob","Robusta",IF(I353="Exc","Excelsa",IF(I353="Ara","Arabica",IF(I353="Lib","Liberica",""))))</f>
        <v>Arabica</v>
      </c>
      <c r="O353" t="str">
        <f t="shared" si="5"/>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f>L354*E354</f>
        <v>36.450000000000003</v>
      </c>
      <c r="N354" t="str">
        <f>IF(I354="Rob","Robusta",IF(I354="Exc","Excelsa",IF(I354="Ara","Arabica",IF(I354="Lib","Liberica",""))))</f>
        <v>Excelsa</v>
      </c>
      <c r="O354" t="str">
        <f t="shared" si="5"/>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f>L355*E355</f>
        <v>27</v>
      </c>
      <c r="N355" t="str">
        <f>IF(I355="Rob","Robusta",IF(I355="Exc","Excelsa",IF(I355="Ara","Arabica",IF(I355="Lib","Liberica",""))))</f>
        <v>Arabica</v>
      </c>
      <c r="O355" t="str">
        <f t="shared" si="5"/>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f>L356*E356</f>
        <v>155.24999999999997</v>
      </c>
      <c r="N356" t="str">
        <f>IF(I356="Rob","Robusta",IF(I356="Exc","Excelsa",IF(I356="Ara","Arabica",IF(I356="Lib","Liberica",""))))</f>
        <v>Arabica</v>
      </c>
      <c r="O356" t="str">
        <f t="shared" si="5"/>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f>L357*E357</f>
        <v>114.42499999999998</v>
      </c>
      <c r="N357" t="str">
        <f>IF(I357="Rob","Robusta",IF(I357="Exc","Excelsa",IF(I357="Ara","Arabica",IF(I357="Lib","Liberica",""))))</f>
        <v>Arabica</v>
      </c>
      <c r="O357" t="str">
        <f t="shared" si="5"/>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f>L358*E358</f>
        <v>51.8</v>
      </c>
      <c r="N358" t="str">
        <f>IF(I358="Rob","Robusta",IF(I358="Exc","Excelsa",IF(I358="Ara","Arabica",IF(I358="Lib","Liberica",""))))</f>
        <v>Liberica</v>
      </c>
      <c r="O358" t="str">
        <f t="shared" si="5"/>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f>L359*E359</f>
        <v>155.24999999999997</v>
      </c>
      <c r="N359" t="str">
        <f>IF(I359="Rob","Robusta",IF(I359="Exc","Excelsa",IF(I359="Ara","Arabica",IF(I359="Lib","Liberica",""))))</f>
        <v>Arabica</v>
      </c>
      <c r="O359" t="str">
        <f t="shared" si="5"/>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f>L360*E360</f>
        <v>29.784999999999997</v>
      </c>
      <c r="N360" t="str">
        <f>IF(I360="Rob","Robusta",IF(I360="Exc","Excelsa",IF(I360="Ara","Arabica",IF(I360="Lib","Liberica",""))))</f>
        <v>Arabica</v>
      </c>
      <c r="O360" t="str">
        <f t="shared" si="5"/>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f>L361*E361</f>
        <v>21.509999999999998</v>
      </c>
      <c r="N361" t="str">
        <f>IF(I361="Rob","Robusta",IF(I361="Exc","Excelsa",IF(I361="Ara","Arabica",IF(I361="Lib","Liberica",""))))</f>
        <v>Robusta</v>
      </c>
      <c r="O361" t="str">
        <f t="shared" si="5"/>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f>L362*E362</f>
        <v>41.169999999999995</v>
      </c>
      <c r="N362" t="str">
        <f>IF(I362="Rob","Robusta",IF(I362="Exc","Excelsa",IF(I362="Ara","Arabica",IF(I362="Lib","Liberica",""))))</f>
        <v>Robusta</v>
      </c>
      <c r="O362" t="str">
        <f t="shared" si="5"/>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f>L363*E363</f>
        <v>5.97</v>
      </c>
      <c r="N363" t="str">
        <f>IF(I363="Rob","Robusta",IF(I363="Exc","Excelsa",IF(I363="Ara","Arabica",IF(I363="Lib","Liberica",""))))</f>
        <v>Robusta</v>
      </c>
      <c r="O363" t="str">
        <f t="shared" si="5"/>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f>L364*E364</f>
        <v>74.25</v>
      </c>
      <c r="N364" t="str">
        <f>IF(I364="Rob","Robusta",IF(I364="Exc","Excelsa",IF(I364="Ara","Arabica",IF(I364="Lib","Liberica",""))))</f>
        <v>Excelsa</v>
      </c>
      <c r="O364" t="str">
        <f t="shared" si="5"/>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f>L365*E365</f>
        <v>87.300000000000011</v>
      </c>
      <c r="N365" t="str">
        <f>IF(I365="Rob","Robusta",IF(I365="Exc","Excelsa",IF(I365="Ara","Arabica",IF(I365="Lib","Liberica",""))))</f>
        <v>Liberica</v>
      </c>
      <c r="O365" t="str">
        <f t="shared" si="5"/>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f>L366*E366</f>
        <v>72.900000000000006</v>
      </c>
      <c r="N366" t="str">
        <f>IF(I366="Rob","Robusta",IF(I366="Exc","Excelsa",IF(I366="Ara","Arabica",IF(I366="Lib","Liberica",""))))</f>
        <v>Excelsa</v>
      </c>
      <c r="O366" t="str">
        <f t="shared" si="5"/>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f>L367*E367</f>
        <v>7.77</v>
      </c>
      <c r="N367" t="str">
        <f>IF(I367="Rob","Robusta",IF(I367="Exc","Excelsa",IF(I367="Ara","Arabica",IF(I367="Lib","Liberica",""))))</f>
        <v>Liberica</v>
      </c>
      <c r="O367" t="str">
        <f t="shared" si="5"/>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f>L368*E368</f>
        <v>43.74</v>
      </c>
      <c r="N368" t="str">
        <f>IF(I368="Rob","Robusta",IF(I368="Exc","Excelsa",IF(I368="Ara","Arabica",IF(I368="Lib","Liberica",""))))</f>
        <v>Excelsa</v>
      </c>
      <c r="O368" t="str">
        <f t="shared" si="5"/>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f>L369*E369</f>
        <v>8.73</v>
      </c>
      <c r="N369" t="str">
        <f>IF(I369="Rob","Robusta",IF(I369="Exc","Excelsa",IF(I369="Ara","Arabica",IF(I369="Lib","Liberica",""))))</f>
        <v>Liberica</v>
      </c>
      <c r="O369" t="str">
        <f t="shared" si="5"/>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f>L370*E370</f>
        <v>63.249999999999993</v>
      </c>
      <c r="N370" t="str">
        <f>IF(I370="Rob","Robusta",IF(I370="Exc","Excelsa",IF(I370="Ara","Arabica",IF(I370="Lib","Liberica",""))))</f>
        <v>Excelsa</v>
      </c>
      <c r="O370" t="str">
        <f t="shared" si="5"/>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f>L371*E371</f>
        <v>8.91</v>
      </c>
      <c r="N371" t="str">
        <f>IF(I371="Rob","Robusta",IF(I371="Exc","Excelsa",IF(I371="Ara","Arabica",IF(I371="Lib","Liberica",""))))</f>
        <v>Excelsa</v>
      </c>
      <c r="O371" t="str">
        <f t="shared" si="5"/>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f>L372*E372</f>
        <v>24.3</v>
      </c>
      <c r="N372" t="str">
        <f>IF(I372="Rob","Robusta",IF(I372="Exc","Excelsa",IF(I372="Ara","Arabica",IF(I372="Lib","Liberica",""))))</f>
        <v>Excelsa</v>
      </c>
      <c r="O372" t="str">
        <f t="shared" si="5"/>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f>L373*E373</f>
        <v>46.62</v>
      </c>
      <c r="N373" t="str">
        <f>IF(I373="Rob","Robusta",IF(I373="Exc","Excelsa",IF(I373="Ara","Arabica",IF(I373="Lib","Liberica",""))))</f>
        <v>Arabica</v>
      </c>
      <c r="O373" t="str">
        <f t="shared" si="5"/>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f>L374*E374</f>
        <v>43.019999999999996</v>
      </c>
      <c r="N374" t="str">
        <f>IF(I374="Rob","Robusta",IF(I374="Exc","Excelsa",IF(I374="Ara","Arabica",IF(I374="Lib","Liberica",""))))</f>
        <v>Robusta</v>
      </c>
      <c r="O374" t="str">
        <f t="shared" si="5"/>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f>L375*E375</f>
        <v>17.91</v>
      </c>
      <c r="N375" t="str">
        <f>IF(I375="Rob","Robusta",IF(I375="Exc","Excelsa",IF(I375="Ara","Arabica",IF(I375="Lib","Liberica",""))))</f>
        <v>Arabica</v>
      </c>
      <c r="O375" t="str">
        <f t="shared" si="5"/>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f>L376*E376</f>
        <v>38.04</v>
      </c>
      <c r="N376" t="str">
        <f>IF(I376="Rob","Robusta",IF(I376="Exc","Excelsa",IF(I376="Ara","Arabica",IF(I376="Lib","Liberica",""))))</f>
        <v>Liberica</v>
      </c>
      <c r="O376" t="str">
        <f t="shared" si="5"/>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f>L377*E377</f>
        <v>6.75</v>
      </c>
      <c r="N377" t="str">
        <f>IF(I377="Rob","Robusta",IF(I377="Exc","Excelsa",IF(I377="Ara","Arabica",IF(I377="Lib","Liberica",""))))</f>
        <v>Arabica</v>
      </c>
      <c r="O377" t="str">
        <f t="shared" si="5"/>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f>L378*E378</f>
        <v>5.97</v>
      </c>
      <c r="N378" t="str">
        <f>IF(I378="Rob","Robusta",IF(I378="Exc","Excelsa",IF(I378="Ara","Arabica",IF(I378="Lib","Liberica",""))))</f>
        <v>Robusta</v>
      </c>
      <c r="O378" t="str">
        <f t="shared" si="5"/>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f>L379*E379</f>
        <v>8.0549999999999997</v>
      </c>
      <c r="N379" t="str">
        <f>IF(I379="Rob","Robusta",IF(I379="Exc","Excelsa",IF(I379="Ara","Arabica",IF(I379="Lib","Liberica",""))))</f>
        <v>Robusta</v>
      </c>
      <c r="O379" t="str">
        <f t="shared" si="5"/>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f>L380*E380</f>
        <v>23.31</v>
      </c>
      <c r="N380" t="str">
        <f>IF(I380="Rob","Robusta",IF(I380="Exc","Excelsa",IF(I380="Ara","Arabica",IF(I380="Lib","Liberica",""))))</f>
        <v>Arabica</v>
      </c>
      <c r="O380" t="str">
        <f t="shared" si="5"/>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f>L381*E381</f>
        <v>43.019999999999996</v>
      </c>
      <c r="N381" t="str">
        <f>IF(I381="Rob","Robusta",IF(I381="Exc","Excelsa",IF(I381="Ara","Arabica",IF(I381="Lib","Liberica",""))))</f>
        <v>Robusta</v>
      </c>
      <c r="O381" t="str">
        <f t="shared" si="5"/>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f>L382*E382</f>
        <v>23.31</v>
      </c>
      <c r="N382" t="str">
        <f>IF(I382="Rob","Robusta",IF(I382="Exc","Excelsa",IF(I382="Ara","Arabica",IF(I382="Lib","Liberica",""))))</f>
        <v>Liberica</v>
      </c>
      <c r="O382" t="str">
        <f t="shared" si="5"/>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f>L383*E383</f>
        <v>14.924999999999999</v>
      </c>
      <c r="N383" t="str">
        <f>IF(I383="Rob","Robusta",IF(I383="Exc","Excelsa",IF(I383="Ara","Arabica",IF(I383="Lib","Liberica",""))))</f>
        <v>Arabica</v>
      </c>
      <c r="O383" t="str">
        <f t="shared" si="5"/>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f>L384*E384</f>
        <v>21.87</v>
      </c>
      <c r="N384" t="str">
        <f>IF(I384="Rob","Robusta",IF(I384="Exc","Excelsa",IF(I384="Ara","Arabica",IF(I384="Lib","Liberica",""))))</f>
        <v>Excelsa</v>
      </c>
      <c r="O384" t="str">
        <f t="shared" si="5"/>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f>L385*E385</f>
        <v>53.46</v>
      </c>
      <c r="N385" t="str">
        <f>IF(I385="Rob","Robusta",IF(I385="Exc","Excelsa",IF(I385="Ara","Arabica",IF(I385="Lib","Liberica",""))))</f>
        <v>Excelsa</v>
      </c>
      <c r="O385" t="str">
        <f t="shared" si="5"/>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f>L386*E386</f>
        <v>119.13999999999999</v>
      </c>
      <c r="N386" t="str">
        <f>IF(I386="Rob","Robusta",IF(I386="Exc","Excelsa",IF(I386="Ara","Arabica",IF(I386="Lib","Liberica",""))))</f>
        <v>Arabica</v>
      </c>
      <c r="O386" t="str">
        <f t="shared" ref="O386:O449" si="6">IF(J386="M","Medium",IF(J386="L","Light",IF(J386="D","Dark","")))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f>L387*E387</f>
        <v>43.650000000000006</v>
      </c>
      <c r="N387" t="str">
        <f>IF(I387="Rob","Robusta",IF(I387="Exc","Excelsa",IF(I387="Ara","Arabica",IF(I387="Lib","Liberica",""))))</f>
        <v>Liberica</v>
      </c>
      <c r="O387" t="str">
        <f t="shared" si="6"/>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f>L388*E388</f>
        <v>17.91</v>
      </c>
      <c r="N388" t="str">
        <f>IF(I388="Rob","Robusta",IF(I388="Exc","Excelsa",IF(I388="Ara","Arabica",IF(I388="Lib","Liberica",""))))</f>
        <v>Arabica</v>
      </c>
      <c r="O388" t="str">
        <f t="shared" si="6"/>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f>L389*E389</f>
        <v>74.25</v>
      </c>
      <c r="N389" t="str">
        <f>IF(I389="Rob","Robusta",IF(I389="Exc","Excelsa",IF(I389="Ara","Arabica",IF(I389="Lib","Liberica",""))))</f>
        <v>Excelsa</v>
      </c>
      <c r="O389" t="str">
        <f t="shared" si="6"/>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f>L390*E390</f>
        <v>11.654999999999999</v>
      </c>
      <c r="N390" t="str">
        <f>IF(I390="Rob","Robusta",IF(I390="Exc","Excelsa",IF(I390="Ara","Arabica",IF(I390="Lib","Liberica",""))))</f>
        <v>Liberica</v>
      </c>
      <c r="O390" t="str">
        <f t="shared" si="6"/>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f>L391*E391</f>
        <v>23.31</v>
      </c>
      <c r="N391" t="str">
        <f>IF(I391="Rob","Robusta",IF(I391="Exc","Excelsa",IF(I391="Ara","Arabica",IF(I391="Lib","Liberica",""))))</f>
        <v>Liberica</v>
      </c>
      <c r="O391" t="str">
        <f t="shared" si="6"/>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f>L392*E392</f>
        <v>14.58</v>
      </c>
      <c r="N392" t="str">
        <f>IF(I392="Rob","Robusta",IF(I392="Exc","Excelsa",IF(I392="Ara","Arabica",IF(I392="Lib","Liberica",""))))</f>
        <v>Excelsa</v>
      </c>
      <c r="O392" t="str">
        <f t="shared" si="6"/>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f>L393*E393</f>
        <v>13.5</v>
      </c>
      <c r="N393" t="str">
        <f>IF(I393="Rob","Robusta",IF(I393="Exc","Excelsa",IF(I393="Ara","Arabica",IF(I393="Lib","Liberica",""))))</f>
        <v>Arabica</v>
      </c>
      <c r="O393" t="str">
        <f t="shared" si="6"/>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f>L394*E394</f>
        <v>89.1</v>
      </c>
      <c r="N394" t="str">
        <f>IF(I394="Rob","Robusta",IF(I394="Exc","Excelsa",IF(I394="Ara","Arabica",IF(I394="Lib","Liberica",""))))</f>
        <v>Excelsa</v>
      </c>
      <c r="O394" t="str">
        <f t="shared" si="6"/>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f>L395*E395</f>
        <v>3.8849999999999998</v>
      </c>
      <c r="N395" t="str">
        <f>IF(I395="Rob","Robusta",IF(I395="Exc","Excelsa",IF(I395="Ara","Arabica",IF(I395="Lib","Liberica",""))))</f>
        <v>Arabica</v>
      </c>
      <c r="O395" t="str">
        <f t="shared" si="6"/>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f>L396*E396</f>
        <v>109.93999999999998</v>
      </c>
      <c r="N396" t="str">
        <f>IF(I396="Rob","Robusta",IF(I396="Exc","Excelsa",IF(I396="Ara","Arabica",IF(I396="Lib","Liberica",""))))</f>
        <v>Robusta</v>
      </c>
      <c r="O396" t="str">
        <f t="shared" si="6"/>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f>L397*E397</f>
        <v>46.62</v>
      </c>
      <c r="N397" t="str">
        <f>IF(I397="Rob","Robusta",IF(I397="Exc","Excelsa",IF(I397="Ara","Arabica",IF(I397="Lib","Liberica",""))))</f>
        <v>Liberica</v>
      </c>
      <c r="O397" t="str">
        <f t="shared" si="6"/>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f>L398*E398</f>
        <v>38.849999999999994</v>
      </c>
      <c r="N398" t="str">
        <f>IF(I398="Rob","Robusta",IF(I398="Exc","Excelsa",IF(I398="Ara","Arabica",IF(I398="Lib","Liberica",""))))</f>
        <v>Arabica</v>
      </c>
      <c r="O398" t="str">
        <f t="shared" si="6"/>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f>L399*E399</f>
        <v>31.08</v>
      </c>
      <c r="N399" t="str">
        <f>IF(I399="Rob","Robusta",IF(I399="Exc","Excelsa",IF(I399="Ara","Arabica",IF(I399="Lib","Liberica",""))))</f>
        <v>Liberica</v>
      </c>
      <c r="O399" t="str">
        <f t="shared" si="6"/>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f>L400*E400</f>
        <v>17.91</v>
      </c>
      <c r="N400" t="str">
        <f>IF(I400="Rob","Robusta",IF(I400="Exc","Excelsa",IF(I400="Ara","Arabica",IF(I400="Lib","Liberica",""))))</f>
        <v>Arabica</v>
      </c>
      <c r="O400" t="str">
        <f t="shared" si="6"/>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f>L401*E401</f>
        <v>167.67000000000002</v>
      </c>
      <c r="N401" t="str">
        <f>IF(I401="Rob","Robusta",IF(I401="Exc","Excelsa",IF(I401="Ara","Arabica",IF(I401="Lib","Liberica",""))))</f>
        <v>Excelsa</v>
      </c>
      <c r="O401" t="str">
        <f t="shared" si="6"/>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f>L402*E402</f>
        <v>63.4</v>
      </c>
      <c r="N402" t="str">
        <f>IF(I402="Rob","Robusta",IF(I402="Exc","Excelsa",IF(I402="Ara","Arabica",IF(I402="Lib","Liberica",""))))</f>
        <v>Liberica</v>
      </c>
      <c r="O402" t="str">
        <f t="shared" si="6"/>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f>L403*E403</f>
        <v>8.73</v>
      </c>
      <c r="N403" t="str">
        <f>IF(I403="Rob","Robusta",IF(I403="Exc","Excelsa",IF(I403="Ara","Arabica",IF(I403="Lib","Liberica",""))))</f>
        <v>Liberica</v>
      </c>
      <c r="O403" t="str">
        <f t="shared" si="6"/>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f>L404*E404</f>
        <v>26.849999999999998</v>
      </c>
      <c r="N404" t="str">
        <f>IF(I404="Rob","Robusta",IF(I404="Exc","Excelsa",IF(I404="Ara","Arabica",IF(I404="Lib","Liberica",""))))</f>
        <v>Robusta</v>
      </c>
      <c r="O404" t="str">
        <f t="shared" si="6"/>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f>L405*E405</f>
        <v>9.51</v>
      </c>
      <c r="N405" t="str">
        <f>IF(I405="Rob","Robusta",IF(I405="Exc","Excelsa",IF(I405="Ara","Arabica",IF(I405="Lib","Liberica",""))))</f>
        <v>Liberica</v>
      </c>
      <c r="O405" t="str">
        <f t="shared" si="6"/>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f>L406*E406</f>
        <v>39.799999999999997</v>
      </c>
      <c r="N406" t="str">
        <f>IF(I406="Rob","Robusta",IF(I406="Exc","Excelsa",IF(I406="Ara","Arabica",IF(I406="Lib","Liberica",""))))</f>
        <v>Arabica</v>
      </c>
      <c r="O406" t="str">
        <f t="shared" si="6"/>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f>L407*E407</f>
        <v>24.75</v>
      </c>
      <c r="N407" t="str">
        <f>IF(I407="Rob","Robusta",IF(I407="Exc","Excelsa",IF(I407="Ara","Arabica",IF(I407="Lib","Liberica",""))))</f>
        <v>Excelsa</v>
      </c>
      <c r="O407" t="str">
        <f t="shared" si="6"/>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f>L408*E408</f>
        <v>68.75</v>
      </c>
      <c r="N408" t="str">
        <f>IF(I408="Rob","Robusta",IF(I408="Exc","Excelsa",IF(I408="Ara","Arabica",IF(I408="Lib","Liberica",""))))</f>
        <v>Excelsa</v>
      </c>
      <c r="O408" t="str">
        <f t="shared" si="6"/>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f>L409*E409</f>
        <v>49.5</v>
      </c>
      <c r="N409" t="str">
        <f>IF(I409="Rob","Robusta",IF(I409="Exc","Excelsa",IF(I409="Ara","Arabica",IF(I409="Lib","Liberica",""))))</f>
        <v>Excelsa</v>
      </c>
      <c r="O409" t="str">
        <f t="shared" si="6"/>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f>L410*E410</f>
        <v>51.749999999999993</v>
      </c>
      <c r="N410" t="str">
        <f>IF(I410="Rob","Robusta",IF(I410="Exc","Excelsa",IF(I410="Ara","Arabica",IF(I410="Lib","Liberica",""))))</f>
        <v>Arabica</v>
      </c>
      <c r="O410" t="str">
        <f t="shared" si="6"/>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f>L411*E411</f>
        <v>47.55</v>
      </c>
      <c r="N411" t="str">
        <f>IF(I411="Rob","Robusta",IF(I411="Exc","Excelsa",IF(I411="Ara","Arabica",IF(I411="Lib","Liberica",""))))</f>
        <v>Liberica</v>
      </c>
      <c r="O411" t="str">
        <f t="shared" si="6"/>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f>L412*E412</f>
        <v>15.54</v>
      </c>
      <c r="N412" t="str">
        <f>IF(I412="Rob","Robusta",IF(I412="Exc","Excelsa",IF(I412="Ara","Arabica",IF(I412="Lib","Liberica",""))))</f>
        <v>Arabica</v>
      </c>
      <c r="O412" t="str">
        <f t="shared" si="6"/>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f>L413*E413</f>
        <v>87.300000000000011</v>
      </c>
      <c r="N413" t="str">
        <f>IF(I413="Rob","Robusta",IF(I413="Exc","Excelsa",IF(I413="Ara","Arabica",IF(I413="Lib","Liberica",""))))</f>
        <v>Liberica</v>
      </c>
      <c r="O413" t="str">
        <f t="shared" si="6"/>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f>L414*E414</f>
        <v>56.25</v>
      </c>
      <c r="N414" t="str">
        <f>IF(I414="Rob","Robusta",IF(I414="Exc","Excelsa",IF(I414="Ara","Arabica",IF(I414="Lib","Liberica",""))))</f>
        <v>Arabica</v>
      </c>
      <c r="O414" t="str">
        <f t="shared" si="6"/>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f>L415*E415</f>
        <v>36.454999999999998</v>
      </c>
      <c r="N415" t="str">
        <f>IF(I415="Rob","Robusta",IF(I415="Exc","Excelsa",IF(I415="Ara","Arabica",IF(I415="Lib","Liberica",""))))</f>
        <v>Liberica</v>
      </c>
      <c r="O415" t="str">
        <f t="shared" si="6"/>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f>L416*E416</f>
        <v>10.754999999999999</v>
      </c>
      <c r="N416" t="str">
        <f>IF(I416="Rob","Robusta",IF(I416="Exc","Excelsa",IF(I416="Ara","Arabica",IF(I416="Lib","Liberica",""))))</f>
        <v>Robusta</v>
      </c>
      <c r="O416" t="str">
        <f t="shared" si="6"/>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f>L417*E417</f>
        <v>8.9550000000000001</v>
      </c>
      <c r="N417" t="str">
        <f>IF(I417="Rob","Robusta",IF(I417="Exc","Excelsa",IF(I417="Ara","Arabica",IF(I417="Lib","Liberica",""))))</f>
        <v>Robusta</v>
      </c>
      <c r="O417" t="str">
        <f t="shared" si="6"/>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f>L418*E418</f>
        <v>23.31</v>
      </c>
      <c r="N418" t="str">
        <f>IF(I418="Rob","Robusta",IF(I418="Exc","Excelsa",IF(I418="Ara","Arabica",IF(I418="Lib","Liberica",""))))</f>
        <v>Arabica</v>
      </c>
      <c r="O418" t="str">
        <f t="shared" si="6"/>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f>L419*E419</f>
        <v>29.784999999999997</v>
      </c>
      <c r="N419" t="str">
        <f>IF(I419="Rob","Robusta",IF(I419="Exc","Excelsa",IF(I419="Ara","Arabica",IF(I419="Lib","Liberica",""))))</f>
        <v>Arabica</v>
      </c>
      <c r="O419" t="str">
        <f t="shared" si="6"/>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f>L420*E420</f>
        <v>148.92499999999998</v>
      </c>
      <c r="N420" t="str">
        <f>IF(I420="Rob","Robusta",IF(I420="Exc","Excelsa",IF(I420="Ara","Arabica",IF(I420="Lib","Liberica",""))))</f>
        <v>Arabica</v>
      </c>
      <c r="O420" t="str">
        <f t="shared" si="6"/>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f>L421*E421</f>
        <v>8.73</v>
      </c>
      <c r="N421" t="str">
        <f>IF(I421="Rob","Robusta",IF(I421="Exc","Excelsa",IF(I421="Ara","Arabica",IF(I421="Lib","Liberica",""))))</f>
        <v>Liberica</v>
      </c>
      <c r="O421" t="str">
        <f t="shared" si="6"/>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f>L422*E422</f>
        <v>31.08</v>
      </c>
      <c r="N422" t="str">
        <f>IF(I422="Rob","Robusta",IF(I422="Exc","Excelsa",IF(I422="Ara","Arabica",IF(I422="Lib","Liberica",""))))</f>
        <v>Liberica</v>
      </c>
      <c r="O422" t="str">
        <f t="shared" si="6"/>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f>L423*E423</f>
        <v>137.31</v>
      </c>
      <c r="N423" t="str">
        <f>IF(I423="Rob","Robusta",IF(I423="Exc","Excelsa",IF(I423="Ara","Arabica",IF(I423="Lib","Liberica",""))))</f>
        <v>Arabica</v>
      </c>
      <c r="O423" t="str">
        <f t="shared" si="6"/>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f>L424*E424</f>
        <v>29.849999999999998</v>
      </c>
      <c r="N424" t="str">
        <f>IF(I424="Rob","Robusta",IF(I424="Exc","Excelsa",IF(I424="Ara","Arabica",IF(I424="Lib","Liberica",""))))</f>
        <v>Arabica</v>
      </c>
      <c r="O424" t="str">
        <f t="shared" si="6"/>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f>L425*E425</f>
        <v>17.91</v>
      </c>
      <c r="N425" t="str">
        <f>IF(I425="Rob","Robusta",IF(I425="Exc","Excelsa",IF(I425="Ara","Arabica",IF(I425="Lib","Liberica",""))))</f>
        <v>Robusta</v>
      </c>
      <c r="O425" t="str">
        <f t="shared" si="6"/>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f>L426*E426</f>
        <v>26.73</v>
      </c>
      <c r="N426" t="str">
        <f>IF(I426="Rob","Robusta",IF(I426="Exc","Excelsa",IF(I426="Ara","Arabica",IF(I426="Lib","Liberica",""))))</f>
        <v>Excelsa</v>
      </c>
      <c r="O426" t="str">
        <f t="shared" si="6"/>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f>L427*E427</f>
        <v>17.899999999999999</v>
      </c>
      <c r="N427" t="str">
        <f>IF(I427="Rob","Robusta",IF(I427="Exc","Excelsa",IF(I427="Ara","Arabica",IF(I427="Lib","Liberica",""))))</f>
        <v>Robusta</v>
      </c>
      <c r="O427" t="str">
        <f t="shared" si="6"/>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f>L428*E428</f>
        <v>14.339999999999998</v>
      </c>
      <c r="N428" t="str">
        <f>IF(I428="Rob","Robusta",IF(I428="Exc","Excelsa",IF(I428="Ara","Arabica",IF(I428="Lib","Liberica",""))))</f>
        <v>Robusta</v>
      </c>
      <c r="O428" t="str">
        <f t="shared" si="6"/>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f>L429*E429</f>
        <v>77.624999999999986</v>
      </c>
      <c r="N429" t="str">
        <f>IF(I429="Rob","Robusta",IF(I429="Exc","Excelsa",IF(I429="Ara","Arabica",IF(I429="Lib","Liberica",""))))</f>
        <v>Arabica</v>
      </c>
      <c r="O429" t="str">
        <f t="shared" si="6"/>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f>L430*E430</f>
        <v>59.75</v>
      </c>
      <c r="N430" t="str">
        <f>IF(I430="Rob","Robusta",IF(I430="Exc","Excelsa",IF(I430="Ara","Arabica",IF(I430="Lib","Liberica",""))))</f>
        <v>Robusta</v>
      </c>
      <c r="O430" t="str">
        <f t="shared" si="6"/>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f>L431*E431</f>
        <v>77.699999999999989</v>
      </c>
      <c r="N431" t="str">
        <f>IF(I431="Rob","Robusta",IF(I431="Exc","Excelsa",IF(I431="Ara","Arabica",IF(I431="Lib","Liberica",""))))</f>
        <v>Arabica</v>
      </c>
      <c r="O431" t="str">
        <f t="shared" si="6"/>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f>L432*E432</f>
        <v>5.3699999999999992</v>
      </c>
      <c r="N432" t="str">
        <f>IF(I432="Rob","Robusta",IF(I432="Exc","Excelsa",IF(I432="Ara","Arabica",IF(I432="Lib","Liberica",""))))</f>
        <v>Robusta</v>
      </c>
      <c r="O432" t="str">
        <f t="shared" si="6"/>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f>L433*E433</f>
        <v>83.835000000000008</v>
      </c>
      <c r="N433" t="str">
        <f>IF(I433="Rob","Robusta",IF(I433="Exc","Excelsa",IF(I433="Ara","Arabica",IF(I433="Lib","Liberica",""))))</f>
        <v>Excelsa</v>
      </c>
      <c r="O433" t="str">
        <f t="shared" si="6"/>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f>L434*E434</f>
        <v>22.5</v>
      </c>
      <c r="N434" t="str">
        <f>IF(I434="Rob","Robusta",IF(I434="Exc","Excelsa",IF(I434="Ara","Arabica",IF(I434="Lib","Liberica",""))))</f>
        <v>Arabica</v>
      </c>
      <c r="O434" t="str">
        <f t="shared" si="6"/>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f>L435*E435</f>
        <v>200.78999999999996</v>
      </c>
      <c r="N435" t="str">
        <f>IF(I435="Rob","Robusta",IF(I435="Exc","Excelsa",IF(I435="Ara","Arabica",IF(I435="Lib","Liberica",""))))</f>
        <v>Liberica</v>
      </c>
      <c r="O435" t="str">
        <f t="shared" si="6"/>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f>L436*E436</f>
        <v>67.5</v>
      </c>
      <c r="N436" t="str">
        <f>IF(I436="Rob","Robusta",IF(I436="Exc","Excelsa",IF(I436="Ara","Arabica",IF(I436="Lib","Liberica",""))))</f>
        <v>Arabica</v>
      </c>
      <c r="O436" t="str">
        <f t="shared" si="6"/>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f>L437*E437</f>
        <v>8.25</v>
      </c>
      <c r="N437" t="str">
        <f>IF(I437="Rob","Robusta",IF(I437="Exc","Excelsa",IF(I437="Ara","Arabica",IF(I437="Lib","Liberica",""))))</f>
        <v>Excelsa</v>
      </c>
      <c r="O437" t="str">
        <f t="shared" si="6"/>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f>L438*E438</f>
        <v>9.51</v>
      </c>
      <c r="N438" t="str">
        <f>IF(I438="Rob","Robusta",IF(I438="Exc","Excelsa",IF(I438="Ara","Arabica",IF(I438="Lib","Liberica",""))))</f>
        <v>Liberica</v>
      </c>
      <c r="O438" t="str">
        <f t="shared" si="6"/>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f>L439*E439</f>
        <v>29.784999999999997</v>
      </c>
      <c r="N439" t="str">
        <f>IF(I439="Rob","Robusta",IF(I439="Exc","Excelsa",IF(I439="Ara","Arabica",IF(I439="Lib","Liberica",""))))</f>
        <v>Liberica</v>
      </c>
      <c r="O439" t="str">
        <f t="shared" si="6"/>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f>L440*E440</f>
        <v>15.54</v>
      </c>
      <c r="N440" t="str">
        <f>IF(I440="Rob","Robusta",IF(I440="Exc","Excelsa",IF(I440="Ara","Arabica",IF(I440="Lib","Liberica",""))))</f>
        <v>Liberica</v>
      </c>
      <c r="O440" t="str">
        <f t="shared" si="6"/>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f>L441*E441</f>
        <v>35.64</v>
      </c>
      <c r="N441" t="str">
        <f>IF(I441="Rob","Robusta",IF(I441="Exc","Excelsa",IF(I441="Ara","Arabica",IF(I441="Lib","Liberica",""))))</f>
        <v>Excelsa</v>
      </c>
      <c r="O441" t="str">
        <f t="shared" si="6"/>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f>L442*E442</f>
        <v>103.49999999999999</v>
      </c>
      <c r="N442" t="str">
        <f>IF(I442="Rob","Robusta",IF(I442="Exc","Excelsa",IF(I442="Ara","Arabica",IF(I442="Lib","Liberica",""))))</f>
        <v>Arabica</v>
      </c>
      <c r="O442" t="str">
        <f t="shared" si="6"/>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f>L443*E443</f>
        <v>36.450000000000003</v>
      </c>
      <c r="N443" t="str">
        <f>IF(I443="Rob","Robusta",IF(I443="Exc","Excelsa",IF(I443="Ara","Arabica",IF(I443="Lib","Liberica",""))))</f>
        <v>Excelsa</v>
      </c>
      <c r="O443" t="str">
        <f t="shared" si="6"/>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f>L444*E444</f>
        <v>35.849999999999994</v>
      </c>
      <c r="N444" t="str">
        <f>IF(I444="Rob","Robusta",IF(I444="Exc","Excelsa",IF(I444="Ara","Arabica",IF(I444="Lib","Liberica",""))))</f>
        <v>Robusta</v>
      </c>
      <c r="O444" t="str">
        <f t="shared" si="6"/>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f>L445*E445</f>
        <v>22.274999999999999</v>
      </c>
      <c r="N445" t="str">
        <f>IF(I445="Rob","Robusta",IF(I445="Exc","Excelsa",IF(I445="Ara","Arabica",IF(I445="Lib","Liberica",""))))</f>
        <v>Excelsa</v>
      </c>
      <c r="O445" t="str">
        <f t="shared" si="6"/>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f>L446*E446</f>
        <v>24.75</v>
      </c>
      <c r="N446" t="str">
        <f>IF(I446="Rob","Robusta",IF(I446="Exc","Excelsa",IF(I446="Ara","Arabica",IF(I446="Lib","Liberica",""))))</f>
        <v>Excelsa</v>
      </c>
      <c r="O446" t="str">
        <f t="shared" si="6"/>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f>L447*E447</f>
        <v>66.929999999999993</v>
      </c>
      <c r="N447" t="str">
        <f>IF(I447="Rob","Robusta",IF(I447="Exc","Excelsa",IF(I447="Ara","Arabica",IF(I447="Lib","Liberica",""))))</f>
        <v>Liberica</v>
      </c>
      <c r="O447" t="str">
        <f t="shared" si="6"/>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f>L448*E448</f>
        <v>8.73</v>
      </c>
      <c r="N448" t="str">
        <f>IF(I448="Rob","Robusta",IF(I448="Exc","Excelsa",IF(I448="Ara","Arabica",IF(I448="Lib","Liberica",""))))</f>
        <v>Liberica</v>
      </c>
      <c r="O448" t="str">
        <f t="shared" si="6"/>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f>L449*E449</f>
        <v>17.91</v>
      </c>
      <c r="N449" t="str">
        <f>IF(I449="Rob","Robusta",IF(I449="Exc","Excelsa",IF(I449="Ara","Arabica",IF(I449="Lib","Liberica",""))))</f>
        <v>Robusta</v>
      </c>
      <c r="O449" t="str">
        <f t="shared" si="6"/>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f>L450*E450</f>
        <v>7.169999999999999</v>
      </c>
      <c r="N450" t="str">
        <f>IF(I450="Rob","Robusta",IF(I450="Exc","Excelsa",IF(I450="Ara","Arabica",IF(I450="Lib","Liberica",""))))</f>
        <v>Robusta</v>
      </c>
      <c r="O450" t="str">
        <f t="shared" ref="O450:O513" si="7">IF(J450="M","Medium",IF(J450="L","Light",IF(J450="D","Dark","")))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f>L451*E451</f>
        <v>5.3699999999999992</v>
      </c>
      <c r="N451" t="str">
        <f>IF(I451="Rob","Robusta",IF(I451="Exc","Excelsa",IF(I451="Ara","Arabica",IF(I451="Lib","Liberica",""))))</f>
        <v>Robusta</v>
      </c>
      <c r="O451" t="str">
        <f t="shared" si="7"/>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f>L452*E452</f>
        <v>23.774999999999999</v>
      </c>
      <c r="N452" t="str">
        <f>IF(I452="Rob","Robusta",IF(I452="Exc","Excelsa",IF(I452="Ara","Arabica",IF(I452="Lib","Liberica",""))))</f>
        <v>Liberica</v>
      </c>
      <c r="O452" t="str">
        <f t="shared" si="7"/>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f>L453*E453</f>
        <v>41.169999999999995</v>
      </c>
      <c r="N453" t="str">
        <f>IF(I453="Rob","Robusta",IF(I453="Exc","Excelsa",IF(I453="Ara","Arabica",IF(I453="Lib","Liberica",""))))</f>
        <v>Robusta</v>
      </c>
      <c r="O453" t="str">
        <f t="shared" si="7"/>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f>L454*E454</f>
        <v>11.654999999999999</v>
      </c>
      <c r="N454" t="str">
        <f>IF(I454="Rob","Robusta",IF(I454="Exc","Excelsa",IF(I454="Ara","Arabica",IF(I454="Lib","Liberica",""))))</f>
        <v>Arabica</v>
      </c>
      <c r="O454" t="str">
        <f t="shared" si="7"/>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f>L455*E455</f>
        <v>38.04</v>
      </c>
      <c r="N455" t="str">
        <f>IF(I455="Rob","Robusta",IF(I455="Exc","Excelsa",IF(I455="Ara","Arabica",IF(I455="Lib","Liberica",""))))</f>
        <v>Liberica</v>
      </c>
      <c r="O455" t="str">
        <f t="shared" si="7"/>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f>L456*E456</f>
        <v>82.339999999999989</v>
      </c>
      <c r="N456" t="str">
        <f>IF(I456="Rob","Robusta",IF(I456="Exc","Excelsa",IF(I456="Ara","Arabica",IF(I456="Lib","Liberica",""))))</f>
        <v>Robusta</v>
      </c>
      <c r="O456" t="str">
        <f t="shared" si="7"/>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f>L457*E457</f>
        <v>9.51</v>
      </c>
      <c r="N457" t="str">
        <f>IF(I457="Rob","Robusta",IF(I457="Exc","Excelsa",IF(I457="Ara","Arabica",IF(I457="Lib","Liberica",""))))</f>
        <v>Liberica</v>
      </c>
      <c r="O457" t="str">
        <f t="shared" si="7"/>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f>L458*E458</f>
        <v>41.169999999999995</v>
      </c>
      <c r="N458" t="str">
        <f>IF(I458="Rob","Robusta",IF(I458="Exc","Excelsa",IF(I458="Ara","Arabica",IF(I458="Lib","Liberica",""))))</f>
        <v>Robusta</v>
      </c>
      <c r="O458" t="str">
        <f t="shared" si="7"/>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f>L459*E459</f>
        <v>47.55</v>
      </c>
      <c r="N459" t="str">
        <f>IF(I459="Rob","Robusta",IF(I459="Exc","Excelsa",IF(I459="Ara","Arabica",IF(I459="Lib","Liberica",""))))</f>
        <v>Liberica</v>
      </c>
      <c r="O459" t="str">
        <f t="shared" si="7"/>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f>L460*E460</f>
        <v>45</v>
      </c>
      <c r="N460" t="str">
        <f>IF(I460="Rob","Robusta",IF(I460="Exc","Excelsa",IF(I460="Ara","Arabica",IF(I460="Lib","Liberica",""))))</f>
        <v>Arabica</v>
      </c>
      <c r="O460" t="str">
        <f t="shared" si="7"/>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f>L461*E461</f>
        <v>23.774999999999999</v>
      </c>
      <c r="N461" t="str">
        <f>IF(I461="Rob","Robusta",IF(I461="Exc","Excelsa",IF(I461="Ara","Arabica",IF(I461="Lib","Liberica",""))))</f>
        <v>Liberica</v>
      </c>
      <c r="O461" t="str">
        <f t="shared" si="7"/>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f>L462*E462</f>
        <v>16.11</v>
      </c>
      <c r="N462" t="str">
        <f>IF(I462="Rob","Robusta",IF(I462="Exc","Excelsa",IF(I462="Ara","Arabica",IF(I462="Lib","Liberica",""))))</f>
        <v>Robusta</v>
      </c>
      <c r="O462" t="str">
        <f t="shared" si="7"/>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f>L463*E463</f>
        <v>10.739999999999998</v>
      </c>
      <c r="N463" t="str">
        <f>IF(I463="Rob","Robusta",IF(I463="Exc","Excelsa",IF(I463="Ara","Arabica",IF(I463="Lib","Liberica",""))))</f>
        <v>Robusta</v>
      </c>
      <c r="O463" t="str">
        <f t="shared" si="7"/>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f>L464*E464</f>
        <v>49.75</v>
      </c>
      <c r="N464" t="str">
        <f>IF(I464="Rob","Robusta",IF(I464="Exc","Excelsa",IF(I464="Ara","Arabica",IF(I464="Lib","Liberica",""))))</f>
        <v>Arabica</v>
      </c>
      <c r="O464" t="str">
        <f t="shared" si="7"/>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f>L465*E465</f>
        <v>27.5</v>
      </c>
      <c r="N465" t="str">
        <f>IF(I465="Rob","Robusta",IF(I465="Exc","Excelsa",IF(I465="Ara","Arabica",IF(I465="Lib","Liberica",""))))</f>
        <v>Excelsa</v>
      </c>
      <c r="O465" t="str">
        <f t="shared" si="7"/>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f>L466*E466</f>
        <v>119.13999999999999</v>
      </c>
      <c r="N466" t="str">
        <f>IF(I466="Rob","Robusta",IF(I466="Exc","Excelsa",IF(I466="Ara","Arabica",IF(I466="Lib","Liberica",""))))</f>
        <v>Liberica</v>
      </c>
      <c r="O466" t="str">
        <f t="shared" si="7"/>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f>L467*E467</f>
        <v>20.584999999999997</v>
      </c>
      <c r="N467" t="str">
        <f>IF(I467="Rob","Robusta",IF(I467="Exc","Excelsa",IF(I467="Ara","Arabica",IF(I467="Lib","Liberica",""))))</f>
        <v>Robusta</v>
      </c>
      <c r="O467" t="str">
        <f t="shared" si="7"/>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f>L468*E468</f>
        <v>8.9550000000000001</v>
      </c>
      <c r="N468" t="str">
        <f>IF(I468="Rob","Robusta",IF(I468="Exc","Excelsa",IF(I468="Ara","Arabica",IF(I468="Lib","Liberica",""))))</f>
        <v>Arabica</v>
      </c>
      <c r="O468" t="str">
        <f t="shared" si="7"/>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f>L469*E469</f>
        <v>5.97</v>
      </c>
      <c r="N469" t="str">
        <f>IF(I469="Rob","Robusta",IF(I469="Exc","Excelsa",IF(I469="Ara","Arabica",IF(I469="Lib","Liberica",""))))</f>
        <v>Arabica</v>
      </c>
      <c r="O469" t="str">
        <f t="shared" si="7"/>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f>L470*E470</f>
        <v>41.25</v>
      </c>
      <c r="N470" t="str">
        <f>IF(I470="Rob","Robusta",IF(I470="Exc","Excelsa",IF(I470="Ara","Arabica",IF(I470="Lib","Liberica",""))))</f>
        <v>Excelsa</v>
      </c>
      <c r="O470" t="str">
        <f t="shared" si="7"/>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f>L471*E471</f>
        <v>22.274999999999999</v>
      </c>
      <c r="N471" t="str">
        <f>IF(I471="Rob","Robusta",IF(I471="Exc","Excelsa",IF(I471="Ara","Arabica",IF(I471="Lib","Liberica",""))))</f>
        <v>Excelsa</v>
      </c>
      <c r="O471" t="str">
        <f t="shared" si="7"/>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f>L472*E472</f>
        <v>6.75</v>
      </c>
      <c r="N472" t="str">
        <f>IF(I472="Rob","Robusta",IF(I472="Exc","Excelsa",IF(I472="Ara","Arabica",IF(I472="Lib","Liberica",""))))</f>
        <v>Arabica</v>
      </c>
      <c r="O472" t="str">
        <f t="shared" si="7"/>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f>L473*E473</f>
        <v>133.85999999999999</v>
      </c>
      <c r="N473" t="str">
        <f>IF(I473="Rob","Robusta",IF(I473="Exc","Excelsa",IF(I473="Ara","Arabica",IF(I473="Lib","Liberica",""))))</f>
        <v>Liberica</v>
      </c>
      <c r="O473" t="str">
        <f t="shared" si="7"/>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f>L474*E474</f>
        <v>5.97</v>
      </c>
      <c r="N474" t="str">
        <f>IF(I474="Rob","Robusta",IF(I474="Exc","Excelsa",IF(I474="Ara","Arabica",IF(I474="Lib","Liberica",""))))</f>
        <v>Arabica</v>
      </c>
      <c r="O474" t="str">
        <f t="shared" si="7"/>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f>L475*E475</f>
        <v>25.9</v>
      </c>
      <c r="N475" t="str">
        <f>IF(I475="Rob","Robusta",IF(I475="Exc","Excelsa",IF(I475="Ara","Arabica",IF(I475="Lib","Liberica",""))))</f>
        <v>Arabica</v>
      </c>
      <c r="O475" t="str">
        <f t="shared" si="7"/>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f>L476*E476</f>
        <v>31.624999999999996</v>
      </c>
      <c r="N476" t="str">
        <f>IF(I476="Rob","Robusta",IF(I476="Exc","Excelsa",IF(I476="Ara","Arabica",IF(I476="Lib","Liberica",""))))</f>
        <v>Excelsa</v>
      </c>
      <c r="O476" t="str">
        <f t="shared" si="7"/>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f>L477*E477</f>
        <v>8.73</v>
      </c>
      <c r="N477" t="str">
        <f>IF(I477="Rob","Robusta",IF(I477="Exc","Excelsa",IF(I477="Ara","Arabica",IF(I477="Lib","Liberica",""))))</f>
        <v>Liberica</v>
      </c>
      <c r="O477" t="str">
        <f t="shared" si="7"/>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f>L478*E478</f>
        <v>26.73</v>
      </c>
      <c r="N478" t="str">
        <f>IF(I478="Rob","Robusta",IF(I478="Exc","Excelsa",IF(I478="Ara","Arabica",IF(I478="Lib","Liberica",""))))</f>
        <v>Excelsa</v>
      </c>
      <c r="O478" t="str">
        <f t="shared" si="7"/>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f>L479*E479</f>
        <v>26.19</v>
      </c>
      <c r="N479" t="str">
        <f>IF(I479="Rob","Robusta",IF(I479="Exc","Excelsa",IF(I479="Ara","Arabica",IF(I479="Lib","Liberica",""))))</f>
        <v>Liberica</v>
      </c>
      <c r="O479" t="str">
        <f t="shared" si="7"/>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f>L480*E480</f>
        <v>53.699999999999996</v>
      </c>
      <c r="N480" t="str">
        <f>IF(I480="Rob","Robusta",IF(I480="Exc","Excelsa",IF(I480="Ara","Arabica",IF(I480="Lib","Liberica",""))))</f>
        <v>Robusta</v>
      </c>
      <c r="O480" t="str">
        <f t="shared" si="7"/>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f>L481*E481</f>
        <v>126.49999999999999</v>
      </c>
      <c r="N481" t="str">
        <f>IF(I481="Rob","Robusta",IF(I481="Exc","Excelsa",IF(I481="Ara","Arabica",IF(I481="Lib","Liberica",""))))</f>
        <v>Excelsa</v>
      </c>
      <c r="O481" t="str">
        <f t="shared" si="7"/>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f>L482*E482</f>
        <v>4.125</v>
      </c>
      <c r="N482" t="str">
        <f>IF(I482="Rob","Robusta",IF(I482="Exc","Excelsa",IF(I482="Ara","Arabica",IF(I482="Lib","Liberica",""))))</f>
        <v>Excelsa</v>
      </c>
      <c r="O482" t="str">
        <f t="shared" si="7"/>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f>L483*E483</f>
        <v>23.9</v>
      </c>
      <c r="N483" t="str">
        <f>IF(I483="Rob","Robusta",IF(I483="Exc","Excelsa",IF(I483="Ara","Arabica",IF(I483="Lib","Liberica",""))))</f>
        <v>Robusta</v>
      </c>
      <c r="O483" t="str">
        <f t="shared" si="7"/>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f>L484*E484</f>
        <v>139.72499999999999</v>
      </c>
      <c r="N484" t="str">
        <f>IF(I484="Rob","Robusta",IF(I484="Exc","Excelsa",IF(I484="Ara","Arabica",IF(I484="Lib","Liberica",""))))</f>
        <v>Excelsa</v>
      </c>
      <c r="O484" t="str">
        <f t="shared" si="7"/>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f>L485*E485</f>
        <v>59.569999999999993</v>
      </c>
      <c r="N485" t="str">
        <f>IF(I485="Rob","Robusta",IF(I485="Exc","Excelsa",IF(I485="Ara","Arabica",IF(I485="Lib","Liberica",""))))</f>
        <v>Liberica</v>
      </c>
      <c r="O485" t="str">
        <f t="shared" si="7"/>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f>L486*E486</f>
        <v>57.06</v>
      </c>
      <c r="N486" t="str">
        <f>IF(I486="Rob","Robusta",IF(I486="Exc","Excelsa",IF(I486="Ara","Arabica",IF(I486="Lib","Liberica",""))))</f>
        <v>Liberica</v>
      </c>
      <c r="O486" t="str">
        <f t="shared" si="7"/>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f>L487*E487</f>
        <v>21.509999999999998</v>
      </c>
      <c r="N487" t="str">
        <f>IF(I487="Rob","Robusta",IF(I487="Exc","Excelsa",IF(I487="Ara","Arabica",IF(I487="Lib","Liberica",""))))</f>
        <v>Robusta</v>
      </c>
      <c r="O487" t="str">
        <f t="shared" si="7"/>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f>L488*E488</f>
        <v>52.38</v>
      </c>
      <c r="N488" t="str">
        <f>IF(I488="Rob","Robusta",IF(I488="Exc","Excelsa",IF(I488="Ara","Arabica",IF(I488="Lib","Liberica",""))))</f>
        <v>Liberica</v>
      </c>
      <c r="O488" t="str">
        <f t="shared" si="7"/>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f>L489*E489</f>
        <v>72.900000000000006</v>
      </c>
      <c r="N489" t="str">
        <f>IF(I489="Rob","Robusta",IF(I489="Exc","Excelsa",IF(I489="Ara","Arabica",IF(I489="Lib","Liberica",""))))</f>
        <v>Excelsa</v>
      </c>
      <c r="O489" t="str">
        <f t="shared" si="7"/>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f>L490*E490</f>
        <v>14.924999999999999</v>
      </c>
      <c r="N490" t="str">
        <f>IF(I490="Rob","Robusta",IF(I490="Exc","Excelsa",IF(I490="Ara","Arabica",IF(I490="Lib","Liberica",""))))</f>
        <v>Robusta</v>
      </c>
      <c r="O490" t="str">
        <f t="shared" si="7"/>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f>L491*E491</f>
        <v>95.1</v>
      </c>
      <c r="N491" t="str">
        <f>IF(I491="Rob","Robusta",IF(I491="Exc","Excelsa",IF(I491="Ara","Arabica",IF(I491="Lib","Liberica",""))))</f>
        <v>Liberica</v>
      </c>
      <c r="O491" t="str">
        <f t="shared" si="7"/>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f>L492*E492</f>
        <v>15.54</v>
      </c>
      <c r="N492" t="str">
        <f>IF(I492="Rob","Robusta",IF(I492="Exc","Excelsa",IF(I492="Ara","Arabica",IF(I492="Lib","Liberica",""))))</f>
        <v>Liberica</v>
      </c>
      <c r="O492" t="str">
        <f t="shared" si="7"/>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f>L493*E493</f>
        <v>23.31</v>
      </c>
      <c r="N493" t="str">
        <f>IF(I493="Rob","Robusta",IF(I493="Exc","Excelsa",IF(I493="Ara","Arabica",IF(I493="Lib","Liberica",""))))</f>
        <v>Liberica</v>
      </c>
      <c r="O493" t="str">
        <f t="shared" si="7"/>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f>L494*E494</f>
        <v>4.125</v>
      </c>
      <c r="N494" t="str">
        <f>IF(I494="Rob","Robusta",IF(I494="Exc","Excelsa",IF(I494="Ara","Arabica",IF(I494="Lib","Liberica",""))))</f>
        <v>Excelsa</v>
      </c>
      <c r="O494" t="str">
        <f t="shared" si="7"/>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f>L495*E495</f>
        <v>35.82</v>
      </c>
      <c r="N495" t="str">
        <f>IF(I495="Rob","Robusta",IF(I495="Exc","Excelsa",IF(I495="Ara","Arabica",IF(I495="Lib","Liberica",""))))</f>
        <v>Robusta</v>
      </c>
      <c r="O495" t="str">
        <f t="shared" si="7"/>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f>L496*E496</f>
        <v>31.7</v>
      </c>
      <c r="N496" t="str">
        <f>IF(I496="Rob","Robusta",IF(I496="Exc","Excelsa",IF(I496="Ara","Arabica",IF(I496="Lib","Liberica",""))))</f>
        <v>Liberica</v>
      </c>
      <c r="O496" t="str">
        <f t="shared" si="7"/>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f>L497*E497</f>
        <v>79.25</v>
      </c>
      <c r="N497" t="str">
        <f>IF(I497="Rob","Robusta",IF(I497="Exc","Excelsa",IF(I497="Ara","Arabica",IF(I497="Lib","Liberica",""))))</f>
        <v>Liberica</v>
      </c>
      <c r="O497" t="str">
        <f t="shared" si="7"/>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f>L498*E498</f>
        <v>10.935</v>
      </c>
      <c r="N498" t="str">
        <f>IF(I498="Rob","Robusta",IF(I498="Exc","Excelsa",IF(I498="Ara","Arabica",IF(I498="Lib","Liberica",""))))</f>
        <v>Excelsa</v>
      </c>
      <c r="O498" t="str">
        <f t="shared" si="7"/>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f>L499*E499</f>
        <v>39.799999999999997</v>
      </c>
      <c r="N499" t="str">
        <f>IF(I499="Rob","Robusta",IF(I499="Exc","Excelsa",IF(I499="Ara","Arabica",IF(I499="Lib","Liberica",""))))</f>
        <v>Arabica</v>
      </c>
      <c r="O499" t="str">
        <f t="shared" si="7"/>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f>L500*E500</f>
        <v>49.75</v>
      </c>
      <c r="N500" t="str">
        <f>IF(I500="Rob","Robusta",IF(I500="Exc","Excelsa",IF(I500="Ara","Arabica",IF(I500="Lib","Liberica",""))))</f>
        <v>Robusta</v>
      </c>
      <c r="O500" t="str">
        <f t="shared" si="7"/>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f>L501*E501</f>
        <v>8.0549999999999997</v>
      </c>
      <c r="N501" t="str">
        <f>IF(I501="Rob","Robusta",IF(I501="Exc","Excelsa",IF(I501="Ara","Arabica",IF(I501="Lib","Liberica",""))))</f>
        <v>Robusta</v>
      </c>
      <c r="O501" t="str">
        <f t="shared" si="7"/>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f>L502*E502</f>
        <v>47.8</v>
      </c>
      <c r="N502" t="str">
        <f>IF(I502="Rob","Robusta",IF(I502="Exc","Excelsa",IF(I502="Ara","Arabica",IF(I502="Lib","Liberica",""))))</f>
        <v>Robusta</v>
      </c>
      <c r="O502" t="str">
        <f t="shared" si="7"/>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f>L503*E503</f>
        <v>11.94</v>
      </c>
      <c r="N503" t="str">
        <f>IF(I503="Rob","Robusta",IF(I503="Exc","Excelsa",IF(I503="Ara","Arabica",IF(I503="Lib","Liberica",""))))</f>
        <v>Robusta</v>
      </c>
      <c r="O503" t="str">
        <f t="shared" si="7"/>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f>L504*E504</f>
        <v>16.5</v>
      </c>
      <c r="N504" t="str">
        <f>IF(I504="Rob","Robusta",IF(I504="Exc","Excelsa",IF(I504="Ara","Arabica",IF(I504="Lib","Liberica",""))))</f>
        <v>Excelsa</v>
      </c>
      <c r="O504" t="str">
        <f t="shared" si="7"/>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f>L505*E505</f>
        <v>51.8</v>
      </c>
      <c r="N505" t="str">
        <f>IF(I505="Rob","Robusta",IF(I505="Exc","Excelsa",IF(I505="Ara","Arabica",IF(I505="Lib","Liberica",""))))</f>
        <v>Liberica</v>
      </c>
      <c r="O505" t="str">
        <f t="shared" si="7"/>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f>L506*E506</f>
        <v>14.265000000000001</v>
      </c>
      <c r="N506" t="str">
        <f>IF(I506="Rob","Robusta",IF(I506="Exc","Excelsa",IF(I506="Ara","Arabica",IF(I506="Lib","Liberica",""))))</f>
        <v>Liberica</v>
      </c>
      <c r="O506" t="str">
        <f t="shared" si="7"/>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f>L507*E507</f>
        <v>26.19</v>
      </c>
      <c r="N507" t="str">
        <f>IF(I507="Rob","Robusta",IF(I507="Exc","Excelsa",IF(I507="Ara","Arabica",IF(I507="Lib","Liberica",""))))</f>
        <v>Liberica</v>
      </c>
      <c r="O507" t="str">
        <f t="shared" si="7"/>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f>L508*E508</f>
        <v>25.9</v>
      </c>
      <c r="N508" t="str">
        <f>IF(I508="Rob","Robusta",IF(I508="Exc","Excelsa",IF(I508="Ara","Arabica",IF(I508="Lib","Liberica",""))))</f>
        <v>Arabica</v>
      </c>
      <c r="O508" t="str">
        <f t="shared" si="7"/>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f>L509*E509</f>
        <v>89.35499999999999</v>
      </c>
      <c r="N509" t="str">
        <f>IF(I509="Rob","Robusta",IF(I509="Exc","Excelsa",IF(I509="Ara","Arabica",IF(I509="Lib","Liberica",""))))</f>
        <v>Arabica</v>
      </c>
      <c r="O509" t="str">
        <f t="shared" si="7"/>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f>L510*E510</f>
        <v>46.62</v>
      </c>
      <c r="N510" t="str">
        <f>IF(I510="Rob","Robusta",IF(I510="Exc","Excelsa",IF(I510="Ara","Arabica",IF(I510="Lib","Liberica",""))))</f>
        <v>Liberica</v>
      </c>
      <c r="O510" t="str">
        <f t="shared" si="7"/>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f>L511*E511</f>
        <v>29.849999999999998</v>
      </c>
      <c r="N511" t="str">
        <f>IF(I511="Rob","Robusta",IF(I511="Exc","Excelsa",IF(I511="Ara","Arabica",IF(I511="Lib","Liberica",""))))</f>
        <v>Arabica</v>
      </c>
      <c r="O511" t="str">
        <f t="shared" si="7"/>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f>L512*E512</f>
        <v>10.754999999999999</v>
      </c>
      <c r="N512" t="str">
        <f>IF(I512="Rob","Robusta",IF(I512="Exc","Excelsa",IF(I512="Ara","Arabica",IF(I512="Lib","Liberica",""))))</f>
        <v>Robusta</v>
      </c>
      <c r="O512" t="str">
        <f t="shared" si="7"/>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f>L513*E513</f>
        <v>13.5</v>
      </c>
      <c r="N513" t="str">
        <f>IF(I513="Rob","Robusta",IF(I513="Exc","Excelsa",IF(I513="Ara","Arabica",IF(I513="Lib","Liberica",""))))</f>
        <v>Arabica</v>
      </c>
      <c r="O513" t="str">
        <f t="shared" si="7"/>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f>L514*E514</f>
        <v>47.55</v>
      </c>
      <c r="N514" t="str">
        <f>IF(I514="Rob","Robusta",IF(I514="Exc","Excelsa",IF(I514="Ara","Arabica",IF(I514="Lib","Liberica",""))))</f>
        <v>Liberica</v>
      </c>
      <c r="O514" t="str">
        <f t="shared" ref="O514:O577" si="8">IF(J514="M","Medium",IF(J514="L","Light",IF(J514="D","Dark","")))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f>L515*E515</f>
        <v>79.25</v>
      </c>
      <c r="N515" t="str">
        <f>IF(I515="Rob","Robusta",IF(I515="Exc","Excelsa",IF(I515="Ara","Arabica",IF(I515="Lib","Liberica",""))))</f>
        <v>Liberica</v>
      </c>
      <c r="O515" t="str">
        <f t="shared" si="8"/>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f>L516*E516</f>
        <v>26.19</v>
      </c>
      <c r="N516" t="str">
        <f>IF(I516="Rob","Robusta",IF(I516="Exc","Excelsa",IF(I516="Ara","Arabica",IF(I516="Lib","Liberica",""))))</f>
        <v>Liberica</v>
      </c>
      <c r="O516" t="str">
        <f t="shared" si="8"/>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f>L517*E517</f>
        <v>21.509999999999998</v>
      </c>
      <c r="N517" t="str">
        <f>IF(I517="Rob","Robusta",IF(I517="Exc","Excelsa",IF(I517="Ara","Arabica",IF(I517="Lib","Liberica",""))))</f>
        <v>Robusta</v>
      </c>
      <c r="O517" t="str">
        <f t="shared" si="8"/>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f>L518*E518</f>
        <v>102.92499999999998</v>
      </c>
      <c r="N518" t="str">
        <f>IF(I518="Rob","Robusta",IF(I518="Exc","Excelsa",IF(I518="Ara","Arabica",IF(I518="Lib","Liberica",""))))</f>
        <v>Robusta</v>
      </c>
      <c r="O518" t="str">
        <f t="shared" si="8"/>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f>L519*E519</f>
        <v>7.77</v>
      </c>
      <c r="N519" t="str">
        <f>IF(I519="Rob","Robusta",IF(I519="Exc","Excelsa",IF(I519="Ara","Arabica",IF(I519="Lib","Liberica",""))))</f>
        <v>Liberica</v>
      </c>
      <c r="O519" t="str">
        <f t="shared" si="8"/>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f>L520*E520</f>
        <v>139.72499999999999</v>
      </c>
      <c r="N520" t="str">
        <f>IF(I520="Rob","Robusta",IF(I520="Exc","Excelsa",IF(I520="Ara","Arabica",IF(I520="Lib","Liberica",""))))</f>
        <v>Excelsa</v>
      </c>
      <c r="O520" t="str">
        <f t="shared" si="8"/>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f>L521*E521</f>
        <v>11.94</v>
      </c>
      <c r="N521" t="str">
        <f>IF(I521="Rob","Robusta",IF(I521="Exc","Excelsa",IF(I521="Ara","Arabica",IF(I521="Lib","Liberica",""))))</f>
        <v>Arabica</v>
      </c>
      <c r="O521" t="str">
        <f t="shared" si="8"/>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f>L522*E522</f>
        <v>3.8849999999999998</v>
      </c>
      <c r="N522" t="str">
        <f>IF(I522="Rob","Robusta",IF(I522="Exc","Excelsa",IF(I522="Ara","Arabica",IF(I522="Lib","Liberica",""))))</f>
        <v>Liberica</v>
      </c>
      <c r="O522" t="str">
        <f t="shared" si="8"/>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f>L523*E523</f>
        <v>39.799999999999997</v>
      </c>
      <c r="N523" t="str">
        <f>IF(I523="Rob","Robusta",IF(I523="Exc","Excelsa",IF(I523="Ara","Arabica",IF(I523="Lib","Liberica",""))))</f>
        <v>Robusta</v>
      </c>
      <c r="O523" t="str">
        <f t="shared" si="8"/>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f>L524*E524</f>
        <v>29.849999999999998</v>
      </c>
      <c r="N524" t="str">
        <f>IF(I524="Rob","Robusta",IF(I524="Exc","Excelsa",IF(I524="Ara","Arabica",IF(I524="Lib","Liberica",""))))</f>
        <v>Robusta</v>
      </c>
      <c r="O524" t="str">
        <f t="shared" si="8"/>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f>L525*E525</f>
        <v>29.784999999999997</v>
      </c>
      <c r="N525" t="str">
        <f>IF(I525="Rob","Robusta",IF(I525="Exc","Excelsa",IF(I525="Ara","Arabica",IF(I525="Lib","Liberica",""))))</f>
        <v>Liberica</v>
      </c>
      <c r="O525" t="str">
        <f t="shared" si="8"/>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f>L526*E526</f>
        <v>72.91</v>
      </c>
      <c r="N526" t="str">
        <f>IF(I526="Rob","Robusta",IF(I526="Exc","Excelsa",IF(I526="Ara","Arabica",IF(I526="Lib","Liberica",""))))</f>
        <v>Liberica</v>
      </c>
      <c r="O526" t="str">
        <f t="shared" si="8"/>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f>L527*E527</f>
        <v>13.424999999999997</v>
      </c>
      <c r="N527" t="str">
        <f>IF(I527="Rob","Robusta",IF(I527="Exc","Excelsa",IF(I527="Ara","Arabica",IF(I527="Lib","Liberica",""))))</f>
        <v>Robusta</v>
      </c>
      <c r="O527" t="str">
        <f t="shared" si="8"/>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f>L528*E528</f>
        <v>126.49999999999999</v>
      </c>
      <c r="N528" t="str">
        <f>IF(I528="Rob","Robusta",IF(I528="Exc","Excelsa",IF(I528="Ara","Arabica",IF(I528="Lib","Liberica",""))))</f>
        <v>Excelsa</v>
      </c>
      <c r="O528" t="str">
        <f t="shared" si="8"/>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f>L529*E529</f>
        <v>41.25</v>
      </c>
      <c r="N529" t="str">
        <f>IF(I529="Rob","Robusta",IF(I529="Exc","Excelsa",IF(I529="Ara","Arabica",IF(I529="Lib","Liberica",""))))</f>
        <v>Excelsa</v>
      </c>
      <c r="O529" t="str">
        <f t="shared" si="8"/>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f>L530*E530</f>
        <v>53.46</v>
      </c>
      <c r="N530" t="str">
        <f>IF(I530="Rob","Robusta",IF(I530="Exc","Excelsa",IF(I530="Ara","Arabica",IF(I530="Lib","Liberica",""))))</f>
        <v>Excelsa</v>
      </c>
      <c r="O530" t="str">
        <f t="shared" si="8"/>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f>L531*E531</f>
        <v>59.699999999999996</v>
      </c>
      <c r="N531" t="str">
        <f>IF(I531="Rob","Robusta",IF(I531="Exc","Excelsa",IF(I531="Ara","Arabica",IF(I531="Lib","Liberica",""))))</f>
        <v>Robusta</v>
      </c>
      <c r="O531" t="str">
        <f t="shared" si="8"/>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f>L532*E532</f>
        <v>59.699999999999996</v>
      </c>
      <c r="N532" t="str">
        <f>IF(I532="Rob","Robusta",IF(I532="Exc","Excelsa",IF(I532="Ara","Arabica",IF(I532="Lib","Liberica",""))))</f>
        <v>Robusta</v>
      </c>
      <c r="O532" t="str">
        <f t="shared" si="8"/>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f>L533*E533</f>
        <v>44.75</v>
      </c>
      <c r="N533" t="str">
        <f>IF(I533="Rob","Robusta",IF(I533="Exc","Excelsa",IF(I533="Ara","Arabica",IF(I533="Lib","Liberica",""))))</f>
        <v>Robusta</v>
      </c>
      <c r="O533" t="str">
        <f t="shared" si="8"/>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f>L534*E534</f>
        <v>16.5</v>
      </c>
      <c r="N534" t="str">
        <f>IF(I534="Rob","Robusta",IF(I534="Exc","Excelsa",IF(I534="Ara","Arabica",IF(I534="Lib","Liberica",""))))</f>
        <v>Excelsa</v>
      </c>
      <c r="O534" t="str">
        <f t="shared" si="8"/>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f>L535*E535</f>
        <v>21.479999999999997</v>
      </c>
      <c r="N535" t="str">
        <f>IF(I535="Rob","Robusta",IF(I535="Exc","Excelsa",IF(I535="Ara","Arabica",IF(I535="Lib","Liberica",""))))</f>
        <v>Robusta</v>
      </c>
      <c r="O535" t="str">
        <f t="shared" si="8"/>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f>L536*E536</f>
        <v>45.769999999999996</v>
      </c>
      <c r="N536" t="str">
        <f>IF(I536="Rob","Robusta",IF(I536="Exc","Excelsa",IF(I536="Ara","Arabica",IF(I536="Lib","Liberica",""))))</f>
        <v>Robusta</v>
      </c>
      <c r="O536" t="str">
        <f t="shared" si="8"/>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f>L537*E537</f>
        <v>9.51</v>
      </c>
      <c r="N537" t="str">
        <f>IF(I537="Rob","Robusta",IF(I537="Exc","Excelsa",IF(I537="Ara","Arabica",IF(I537="Lib","Liberica",""))))</f>
        <v>Liberica</v>
      </c>
      <c r="O537" t="str">
        <f t="shared" si="8"/>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f>L538*E538</f>
        <v>8.0549999999999997</v>
      </c>
      <c r="N538" t="str">
        <f>IF(I538="Rob","Robusta",IF(I538="Exc","Excelsa",IF(I538="Ara","Arabica",IF(I538="Lib","Liberica",""))))</f>
        <v>Robusta</v>
      </c>
      <c r="O538" t="str">
        <f t="shared" si="8"/>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f>L539*E539</f>
        <v>111.78</v>
      </c>
      <c r="N539" t="str">
        <f>IF(I539="Rob","Robusta",IF(I539="Exc","Excelsa",IF(I539="Ara","Arabica",IF(I539="Lib","Liberica",""))))</f>
        <v>Excelsa</v>
      </c>
      <c r="O539" t="str">
        <f t="shared" si="8"/>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f>L540*E540</f>
        <v>10.739999999999998</v>
      </c>
      <c r="N540" t="str">
        <f>IF(I540="Rob","Robusta",IF(I540="Exc","Excelsa",IF(I540="Ara","Arabica",IF(I540="Lib","Liberica",""))))</f>
        <v>Robusta</v>
      </c>
      <c r="O540" t="str">
        <f t="shared" si="8"/>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f>L541*E541</f>
        <v>26.849999999999994</v>
      </c>
      <c r="N541" t="str">
        <f>IF(I541="Rob","Robusta",IF(I541="Exc","Excelsa",IF(I541="Ara","Arabica",IF(I541="Lib","Liberica",""))))</f>
        <v>Robusta</v>
      </c>
      <c r="O541" t="str">
        <f t="shared" si="8"/>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f>L542*E542</f>
        <v>63.4</v>
      </c>
      <c r="N542" t="str">
        <f>IF(I542="Rob","Robusta",IF(I542="Exc","Excelsa",IF(I542="Ara","Arabica",IF(I542="Lib","Liberica",""))))</f>
        <v>Liberica</v>
      </c>
      <c r="O542" t="str">
        <f t="shared" si="8"/>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f>L543*E543</f>
        <v>22.884999999999998</v>
      </c>
      <c r="N543" t="str">
        <f>IF(I543="Rob","Robusta",IF(I543="Exc","Excelsa",IF(I543="Ara","Arabica",IF(I543="Lib","Liberica",""))))</f>
        <v>Arabica</v>
      </c>
      <c r="O543" t="str">
        <f t="shared" si="8"/>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f>L544*E544</f>
        <v>103.49999999999999</v>
      </c>
      <c r="N544" t="str">
        <f>IF(I544="Rob","Robusta",IF(I544="Exc","Excelsa",IF(I544="Ara","Arabica",IF(I544="Lib","Liberica",""))))</f>
        <v>Arabica</v>
      </c>
      <c r="O544" t="str">
        <f t="shared" si="8"/>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f>L545*E545</f>
        <v>54.969999999999992</v>
      </c>
      <c r="N545" t="str">
        <f>IF(I545="Rob","Robusta",IF(I545="Exc","Excelsa",IF(I545="Ara","Arabica",IF(I545="Lib","Liberica",""))))</f>
        <v>Robusta</v>
      </c>
      <c r="O545" t="str">
        <f t="shared" si="8"/>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f>L546*E546</f>
        <v>15.54</v>
      </c>
      <c r="N546" t="str">
        <f>IF(I546="Rob","Robusta",IF(I546="Exc","Excelsa",IF(I546="Ara","Arabica",IF(I546="Lib","Liberica",""))))</f>
        <v>Arabica</v>
      </c>
      <c r="O546" t="str">
        <f t="shared" si="8"/>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f>L547*E547</f>
        <v>15.54</v>
      </c>
      <c r="N547" t="str">
        <f>IF(I547="Rob","Robusta",IF(I547="Exc","Excelsa",IF(I547="Ara","Arabica",IF(I547="Lib","Liberica",""))))</f>
        <v>Liberica</v>
      </c>
      <c r="O547" t="str">
        <f t="shared" si="8"/>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f>L548*E548</f>
        <v>83.835000000000008</v>
      </c>
      <c r="N548" t="str">
        <f>IF(I548="Rob","Robusta",IF(I548="Exc","Excelsa",IF(I548="Ara","Arabica",IF(I548="Lib","Liberica",""))))</f>
        <v>Excelsa</v>
      </c>
      <c r="O548" t="str">
        <f t="shared" si="8"/>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f>L549*E549</f>
        <v>10.754999999999999</v>
      </c>
      <c r="N549" t="str">
        <f>IF(I549="Rob","Robusta",IF(I549="Exc","Excelsa",IF(I549="Ara","Arabica",IF(I549="Lib","Liberica",""))))</f>
        <v>Robusta</v>
      </c>
      <c r="O549" t="str">
        <f t="shared" si="8"/>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f>L550*E550</f>
        <v>13.365</v>
      </c>
      <c r="N550" t="str">
        <f>IF(I550="Rob","Robusta",IF(I550="Exc","Excelsa",IF(I550="Ara","Arabica",IF(I550="Lib","Liberica",""))))</f>
        <v>Excelsa</v>
      </c>
      <c r="O550" t="str">
        <f t="shared" si="8"/>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f>L551*E551</f>
        <v>17.82</v>
      </c>
      <c r="N551" t="str">
        <f>IF(I551="Rob","Robusta",IF(I551="Exc","Excelsa",IF(I551="Ara","Arabica",IF(I551="Lib","Liberica",""))))</f>
        <v>Excelsa</v>
      </c>
      <c r="O551" t="str">
        <f t="shared" si="8"/>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f>L552*E552</f>
        <v>23.31</v>
      </c>
      <c r="N552" t="str">
        <f>IF(I552="Rob","Robusta",IF(I552="Exc","Excelsa",IF(I552="Ara","Arabica",IF(I552="Lib","Liberica",""))))</f>
        <v>Liberica</v>
      </c>
      <c r="O552" t="str">
        <f t="shared" si="8"/>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f>L553*E553</f>
        <v>7.29</v>
      </c>
      <c r="N553" t="str">
        <f>IF(I553="Rob","Robusta",IF(I553="Exc","Excelsa",IF(I553="Ara","Arabica",IF(I553="Lib","Liberica",""))))</f>
        <v>Excelsa</v>
      </c>
      <c r="O553" t="str">
        <f t="shared" si="8"/>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f>L554*E554</f>
        <v>17.82</v>
      </c>
      <c r="N554" t="str">
        <f>IF(I554="Rob","Robusta",IF(I554="Exc","Excelsa",IF(I554="Ara","Arabica",IF(I554="Lib","Liberica",""))))</f>
        <v>Excelsa</v>
      </c>
      <c r="O554" t="str">
        <f t="shared" si="8"/>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f>L555*E555</f>
        <v>68.75</v>
      </c>
      <c r="N555" t="str">
        <f>IF(I555="Rob","Robusta",IF(I555="Exc","Excelsa",IF(I555="Ara","Arabica",IF(I555="Lib","Liberica",""))))</f>
        <v>Excelsa</v>
      </c>
      <c r="O555" t="str">
        <f t="shared" si="8"/>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f>L556*E556</f>
        <v>54.969999999999992</v>
      </c>
      <c r="N556" t="str">
        <f>IF(I556="Rob","Robusta",IF(I556="Exc","Excelsa",IF(I556="Ara","Arabica",IF(I556="Lib","Liberica",""))))</f>
        <v>Robusta</v>
      </c>
      <c r="O556" t="str">
        <f t="shared" si="8"/>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f>L557*E557</f>
        <v>82.5</v>
      </c>
      <c r="N557" t="str">
        <f>IF(I557="Rob","Robusta",IF(I557="Exc","Excelsa",IF(I557="Ara","Arabica",IF(I557="Lib","Liberica",""))))</f>
        <v>Excelsa</v>
      </c>
      <c r="O557" t="str">
        <f t="shared" si="8"/>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f>L558*E558</f>
        <v>8.73</v>
      </c>
      <c r="N558" t="str">
        <f>IF(I558="Rob","Robusta",IF(I558="Exc","Excelsa",IF(I558="Ara","Arabica",IF(I558="Lib","Liberica",""))))</f>
        <v>Liberica</v>
      </c>
      <c r="O558" t="str">
        <f t="shared" si="8"/>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f>L559*E559</f>
        <v>59.4</v>
      </c>
      <c r="N559" t="str">
        <f>IF(I559="Rob","Robusta",IF(I559="Exc","Excelsa",IF(I559="Ara","Arabica",IF(I559="Lib","Liberica",""))))</f>
        <v>Excelsa</v>
      </c>
      <c r="O559" t="str">
        <f t="shared" si="8"/>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f>L560*E560</f>
        <v>15.54</v>
      </c>
      <c r="N560" t="str">
        <f>IF(I560="Rob","Robusta",IF(I560="Exc","Excelsa",IF(I560="Ara","Arabica",IF(I560="Lib","Liberica",""))))</f>
        <v>Liberica</v>
      </c>
      <c r="O560" t="str">
        <f t="shared" si="8"/>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f>L561*E561</f>
        <v>38.849999999999994</v>
      </c>
      <c r="N561" t="str">
        <f>IF(I561="Rob","Robusta",IF(I561="Exc","Excelsa",IF(I561="Ara","Arabica",IF(I561="Lib","Liberica",""))))</f>
        <v>Arabica</v>
      </c>
      <c r="O561" t="str">
        <f t="shared" si="8"/>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f>L562*E562</f>
        <v>189.74999999999997</v>
      </c>
      <c r="N562" t="str">
        <f>IF(I562="Rob","Robusta",IF(I562="Exc","Excelsa",IF(I562="Ara","Arabica",IF(I562="Lib","Liberica",""))))</f>
        <v>Excelsa</v>
      </c>
      <c r="O562" t="str">
        <f t="shared" si="8"/>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f>L563*E563</f>
        <v>17.91</v>
      </c>
      <c r="N563" t="str">
        <f>IF(I563="Rob","Robusta",IF(I563="Exc","Excelsa",IF(I563="Ara","Arabica",IF(I563="Lib","Liberica",""))))</f>
        <v>Arabica</v>
      </c>
      <c r="O563" t="str">
        <f t="shared" si="8"/>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f>L564*E564</f>
        <v>28.53</v>
      </c>
      <c r="N564" t="str">
        <f>IF(I564="Rob","Robusta",IF(I564="Exc","Excelsa",IF(I564="Ara","Arabica",IF(I564="Lib","Liberica",""))))</f>
        <v>Liberica</v>
      </c>
      <c r="O564" t="str">
        <f t="shared" si="8"/>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f>L565*E565</f>
        <v>82.5</v>
      </c>
      <c r="N565" t="str">
        <f>IF(I565="Rob","Robusta",IF(I565="Exc","Excelsa",IF(I565="Ara","Arabica",IF(I565="Lib","Liberica",""))))</f>
        <v>Excelsa</v>
      </c>
      <c r="O565" t="str">
        <f t="shared" si="8"/>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f>L566*E566</f>
        <v>14.339999999999998</v>
      </c>
      <c r="N566" t="str">
        <f>IF(I566="Rob","Robusta",IF(I566="Exc","Excelsa",IF(I566="Ara","Arabica",IF(I566="Lib","Liberica",""))))</f>
        <v>Robusta</v>
      </c>
      <c r="O566" t="str">
        <f t="shared" si="8"/>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f>L567*E567</f>
        <v>82.339999999999989</v>
      </c>
      <c r="N567" t="str">
        <f>IF(I567="Rob","Robusta",IF(I567="Exc","Excelsa",IF(I567="Ara","Arabica",IF(I567="Lib","Liberica",""))))</f>
        <v>Robusta</v>
      </c>
      <c r="O567" t="str">
        <f t="shared" si="8"/>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f>L568*E568</f>
        <v>20.25</v>
      </c>
      <c r="N568" t="str">
        <f>IF(I568="Rob","Robusta",IF(I568="Exc","Excelsa",IF(I568="Ara","Arabica",IF(I568="Lib","Liberica",""))))</f>
        <v>Arabica</v>
      </c>
      <c r="O568" t="str">
        <f t="shared" si="8"/>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f>L569*E569</f>
        <v>164.90999999999997</v>
      </c>
      <c r="N569" t="str">
        <f>IF(I569="Rob","Robusta",IF(I569="Exc","Excelsa",IF(I569="Ara","Arabica",IF(I569="Lib","Liberica",""))))</f>
        <v>Robusta</v>
      </c>
      <c r="O569" t="str">
        <f t="shared" si="8"/>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f>L570*E570</f>
        <v>19.02</v>
      </c>
      <c r="N570" t="str">
        <f>IF(I570="Rob","Robusta",IF(I570="Exc","Excelsa",IF(I570="Ara","Arabica",IF(I570="Lib","Liberica",""))))</f>
        <v>Liberica</v>
      </c>
      <c r="O570" t="str">
        <f t="shared" si="8"/>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f>L571*E571</f>
        <v>137.31</v>
      </c>
      <c r="N571" t="str">
        <f>IF(I571="Rob","Robusta",IF(I571="Exc","Excelsa",IF(I571="Ara","Arabica",IF(I571="Lib","Liberica",""))))</f>
        <v>Arabica</v>
      </c>
      <c r="O571" t="str">
        <f t="shared" si="8"/>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f>L572*E572</f>
        <v>27</v>
      </c>
      <c r="N572" t="str">
        <f>IF(I572="Rob","Robusta",IF(I572="Exc","Excelsa",IF(I572="Ara","Arabica",IF(I572="Lib","Liberica",""))))</f>
        <v>Arabica</v>
      </c>
      <c r="O572" t="str">
        <f t="shared" si="8"/>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f>L573*E573</f>
        <v>35.64</v>
      </c>
      <c r="N573" t="str">
        <f>IF(I573="Rob","Robusta",IF(I573="Exc","Excelsa",IF(I573="Ara","Arabica",IF(I573="Lib","Liberica",""))))</f>
        <v>Excelsa</v>
      </c>
      <c r="O573" t="str">
        <f t="shared" si="8"/>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f>L574*E574</f>
        <v>5.97</v>
      </c>
      <c r="N574" t="str">
        <f>IF(I574="Rob","Robusta",IF(I574="Exc","Excelsa",IF(I574="Ara","Arabica",IF(I574="Lib","Liberica",""))))</f>
        <v>Arabica</v>
      </c>
      <c r="O574" t="str">
        <f t="shared" si="8"/>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f>L575*E575</f>
        <v>67.5</v>
      </c>
      <c r="N575" t="str">
        <f>IF(I575="Rob","Robusta",IF(I575="Exc","Excelsa",IF(I575="Ara","Arabica",IF(I575="Lib","Liberica",""))))</f>
        <v>Arabica</v>
      </c>
      <c r="O575" t="str">
        <f t="shared" si="8"/>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f>L576*E576</f>
        <v>21.509999999999998</v>
      </c>
      <c r="N576" t="str">
        <f>IF(I576="Rob","Robusta",IF(I576="Exc","Excelsa",IF(I576="Ara","Arabica",IF(I576="Lib","Liberica",""))))</f>
        <v>Robusta</v>
      </c>
      <c r="O576" t="str">
        <f t="shared" si="8"/>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f>L577*E577</f>
        <v>66.929999999999993</v>
      </c>
      <c r="N577" t="str">
        <f>IF(I577="Rob","Robusta",IF(I577="Exc","Excelsa",IF(I577="Ara","Arabica",IF(I577="Lib","Liberica",""))))</f>
        <v>Liberica</v>
      </c>
      <c r="O577" t="str">
        <f t="shared" si="8"/>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f>L578*E578</f>
        <v>17.91</v>
      </c>
      <c r="N578" t="str">
        <f>IF(I578="Rob","Robusta",IF(I578="Exc","Excelsa",IF(I578="Ara","Arabica",IF(I578="Lib","Liberica",""))))</f>
        <v>Arabica</v>
      </c>
      <c r="O578" t="str">
        <f t="shared" ref="O578:O641" si="9">IF(J578="M","Medium",IF(J578="L","Light",IF(J578="D","Dark","")))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f>L579*E579</f>
        <v>58.2</v>
      </c>
      <c r="N579" t="str">
        <f>IF(I579="Rob","Robusta",IF(I579="Exc","Excelsa",IF(I579="Ara","Arabica",IF(I579="Lib","Liberica",""))))</f>
        <v>Liberica</v>
      </c>
      <c r="O579" t="str">
        <f t="shared" si="9"/>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f>L580*E580</f>
        <v>13.365</v>
      </c>
      <c r="N580" t="str">
        <f>IF(I580="Rob","Robusta",IF(I580="Exc","Excelsa",IF(I580="Ara","Arabica",IF(I580="Lib","Liberica",""))))</f>
        <v>Excelsa</v>
      </c>
      <c r="O580" t="str">
        <f t="shared" si="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f>L581*E581</f>
        <v>33.75</v>
      </c>
      <c r="N581" t="str">
        <f>IF(I581="Rob","Robusta",IF(I581="Exc","Excelsa",IF(I581="Ara","Arabica",IF(I581="Lib","Liberica",""))))</f>
        <v>Arabica</v>
      </c>
      <c r="O581" t="str">
        <f t="shared" si="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f>L582*E582</f>
        <v>44.55</v>
      </c>
      <c r="N582" t="str">
        <f>IF(I582="Rob","Robusta",IF(I582="Exc","Excelsa",IF(I582="Ara","Arabica",IF(I582="Lib","Liberica",""))))</f>
        <v>Excelsa</v>
      </c>
      <c r="O582" t="str">
        <f t="shared" si="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f>L583*E583</f>
        <v>44.55</v>
      </c>
      <c r="N583" t="str">
        <f>IF(I583="Rob","Robusta",IF(I583="Exc","Excelsa",IF(I583="Ara","Arabica",IF(I583="Lib","Liberica",""))))</f>
        <v>Excelsa</v>
      </c>
      <c r="O583" t="str">
        <f t="shared" si="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f>L584*E584</f>
        <v>60.75</v>
      </c>
      <c r="N584" t="str">
        <f>IF(I584="Rob","Robusta",IF(I584="Exc","Excelsa",IF(I584="Ara","Arabica",IF(I584="Lib","Liberica",""))))</f>
        <v>Excelsa</v>
      </c>
      <c r="O584" t="str">
        <f t="shared" si="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f>L585*E585</f>
        <v>3.5849999999999995</v>
      </c>
      <c r="N585" t="str">
        <f>IF(I585="Rob","Robusta",IF(I585="Exc","Excelsa",IF(I585="Ara","Arabica",IF(I585="Lib","Liberica",""))))</f>
        <v>Robusta</v>
      </c>
      <c r="O585" t="str">
        <f t="shared" si="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f>L586*E586</f>
        <v>21.509999999999998</v>
      </c>
      <c r="N586" t="str">
        <f>IF(I586="Rob","Robusta",IF(I586="Exc","Excelsa",IF(I586="Ara","Arabica",IF(I586="Lib","Liberica",""))))</f>
        <v>Robusta</v>
      </c>
      <c r="O586" t="str">
        <f t="shared" si="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f>L587*E587</f>
        <v>16.5</v>
      </c>
      <c r="N587" t="str">
        <f>IF(I587="Rob","Robusta",IF(I587="Exc","Excelsa",IF(I587="Ara","Arabica",IF(I587="Lib","Liberica",""))))</f>
        <v>Excelsa</v>
      </c>
      <c r="O587" t="str">
        <f t="shared" si="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f>L588*E588</f>
        <v>82.454999999999984</v>
      </c>
      <c r="N588" t="str">
        <f>IF(I588="Rob","Robusta",IF(I588="Exc","Excelsa",IF(I588="Ara","Arabica",IF(I588="Lib","Liberica",""))))</f>
        <v>Robusta</v>
      </c>
      <c r="O588" t="str">
        <f t="shared" si="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f>L589*E589</f>
        <v>7.77</v>
      </c>
      <c r="N589" t="str">
        <f>IF(I589="Rob","Robusta",IF(I589="Exc","Excelsa",IF(I589="Ara","Arabica",IF(I589="Lib","Liberica",""))))</f>
        <v>Liberica</v>
      </c>
      <c r="O589" t="str">
        <f t="shared" si="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f>L590*E590</f>
        <v>11.94</v>
      </c>
      <c r="N590" t="str">
        <f>IF(I590="Rob","Robusta",IF(I590="Exc","Excelsa",IF(I590="Ara","Arabica",IF(I590="Lib","Liberica",""))))</f>
        <v>Robusta</v>
      </c>
      <c r="O590" t="str">
        <f t="shared" si="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f>L591*E591</f>
        <v>204.92999999999995</v>
      </c>
      <c r="N591" t="str">
        <f>IF(I591="Rob","Robusta",IF(I591="Exc","Excelsa",IF(I591="Ara","Arabica",IF(I591="Lib","Liberica",""))))</f>
        <v>Excelsa</v>
      </c>
      <c r="O591" t="str">
        <f t="shared" si="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f>L592*E592</f>
        <v>63.249999999999993</v>
      </c>
      <c r="N592" t="str">
        <f>IF(I592="Rob","Robusta",IF(I592="Exc","Excelsa",IF(I592="Ara","Arabica",IF(I592="Lib","Liberica",""))))</f>
        <v>Excelsa</v>
      </c>
      <c r="O592" t="str">
        <f t="shared" si="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f>L593*E593</f>
        <v>8.0549999999999997</v>
      </c>
      <c r="N593" t="str">
        <f>IF(I593="Rob","Robusta",IF(I593="Exc","Excelsa",IF(I593="Ara","Arabica",IF(I593="Lib","Liberica",""))))</f>
        <v>Robusta</v>
      </c>
      <c r="O593" t="str">
        <f t="shared" si="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f>L594*E594</f>
        <v>51.749999999999993</v>
      </c>
      <c r="N594" t="str">
        <f>IF(I594="Rob","Robusta",IF(I594="Exc","Excelsa",IF(I594="Ara","Arabica",IF(I594="Lib","Liberica",""))))</f>
        <v>Arabica</v>
      </c>
      <c r="O594" t="str">
        <f t="shared" si="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f>L595*E595</f>
        <v>27.945</v>
      </c>
      <c r="N595" t="str">
        <f>IF(I595="Rob","Robusta",IF(I595="Exc","Excelsa",IF(I595="Ara","Arabica",IF(I595="Lib","Liberica",""))))</f>
        <v>Excelsa</v>
      </c>
      <c r="O595" t="str">
        <f t="shared" si="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f>L596*E596</f>
        <v>59.569999999999993</v>
      </c>
      <c r="N596" t="str">
        <f>IF(I596="Rob","Robusta",IF(I596="Exc","Excelsa",IF(I596="Ara","Arabica",IF(I596="Lib","Liberica",""))))</f>
        <v>Arabica</v>
      </c>
      <c r="O596" t="str">
        <f t="shared" si="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f>L597*E597</f>
        <v>14.85</v>
      </c>
      <c r="N597" t="str">
        <f>IF(I597="Rob","Robusta",IF(I597="Exc","Excelsa",IF(I597="Ara","Arabica",IF(I597="Lib","Liberica",""))))</f>
        <v>Excelsa</v>
      </c>
      <c r="O597" t="str">
        <f t="shared" si="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f>L598*E598</f>
        <v>33.75</v>
      </c>
      <c r="N598" t="str">
        <f>IF(I598="Rob","Robusta",IF(I598="Exc","Excelsa",IF(I598="Ara","Arabica",IF(I598="Lib","Liberica",""))))</f>
        <v>Arabica</v>
      </c>
      <c r="O598" t="str">
        <f t="shared" si="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f>L599*E599</f>
        <v>145.82</v>
      </c>
      <c r="N599" t="str">
        <f>IF(I599="Rob","Robusta",IF(I599="Exc","Excelsa",IF(I599="Ara","Arabica",IF(I599="Lib","Liberica",""))))</f>
        <v>Liberica</v>
      </c>
      <c r="O599" t="str">
        <f t="shared" si="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f>L600*E600</f>
        <v>11.94</v>
      </c>
      <c r="N600" t="str">
        <f>IF(I600="Rob","Robusta",IF(I600="Exc","Excelsa",IF(I600="Ara","Arabica",IF(I600="Lib","Liberica",""))))</f>
        <v>Robusta</v>
      </c>
      <c r="O600" t="str">
        <f t="shared" si="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f>L601*E601</f>
        <v>11.94</v>
      </c>
      <c r="N601" t="str">
        <f>IF(I601="Rob","Robusta",IF(I601="Exc","Excelsa",IF(I601="Ara","Arabica",IF(I601="Lib","Liberica",""))))</f>
        <v>Arabica</v>
      </c>
      <c r="O601" t="str">
        <f t="shared" si="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f>L602*E602</f>
        <v>7.77</v>
      </c>
      <c r="N602" t="str">
        <f>IF(I602="Rob","Robusta",IF(I602="Exc","Excelsa",IF(I602="Ara","Arabica",IF(I602="Lib","Liberica",""))))</f>
        <v>Liberica</v>
      </c>
      <c r="O602" t="str">
        <f t="shared" si="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f>L603*E603</f>
        <v>109.93999999999998</v>
      </c>
      <c r="N603" t="str">
        <f>IF(I603="Rob","Robusta",IF(I603="Exc","Excelsa",IF(I603="Ara","Arabica",IF(I603="Lib","Liberica",""))))</f>
        <v>Robusta</v>
      </c>
      <c r="O603" t="str">
        <f t="shared" si="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f>L604*E604</f>
        <v>22.274999999999999</v>
      </c>
      <c r="N604" t="str">
        <f>IF(I604="Rob","Robusta",IF(I604="Exc","Excelsa",IF(I604="Ara","Arabica",IF(I604="Lib","Liberica",""))))</f>
        <v>Excelsa</v>
      </c>
      <c r="O604" t="str">
        <f t="shared" si="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f>L605*E605</f>
        <v>8.9550000000000001</v>
      </c>
      <c r="N605" t="str">
        <f>IF(I605="Rob","Robusta",IF(I605="Exc","Excelsa",IF(I605="Ara","Arabica",IF(I605="Lib","Liberica",""))))</f>
        <v>Robusta</v>
      </c>
      <c r="O605" t="str">
        <f t="shared" si="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f>L606*E606</f>
        <v>119.13999999999999</v>
      </c>
      <c r="N606" t="str">
        <f>IF(I606="Rob","Robusta",IF(I606="Exc","Excelsa",IF(I606="Ara","Arabica",IF(I606="Lib","Liberica",""))))</f>
        <v>Liberica</v>
      </c>
      <c r="O606" t="str">
        <f t="shared" si="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f>L607*E607</f>
        <v>148.92499999999998</v>
      </c>
      <c r="N607" t="str">
        <f>IF(I607="Rob","Robusta",IF(I607="Exc","Excelsa",IF(I607="Ara","Arabica",IF(I607="Lib","Liberica",""))))</f>
        <v>Arabica</v>
      </c>
      <c r="O607" t="str">
        <f t="shared" si="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f>L608*E608</f>
        <v>109.36499999999999</v>
      </c>
      <c r="N608" t="str">
        <f>IF(I608="Rob","Robusta",IF(I608="Exc","Excelsa",IF(I608="Ara","Arabica",IF(I608="Lib","Liberica",""))))</f>
        <v>Liberica</v>
      </c>
      <c r="O608" t="str">
        <f t="shared" si="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f>L609*E609</f>
        <v>3.645</v>
      </c>
      <c r="N609" t="str">
        <f>IF(I609="Rob","Robusta",IF(I609="Exc","Excelsa",IF(I609="Ara","Arabica",IF(I609="Lib","Liberica",""))))</f>
        <v>Excelsa</v>
      </c>
      <c r="O609" t="str">
        <f t="shared" si="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f>L610*E610</f>
        <v>55.89</v>
      </c>
      <c r="N610" t="str">
        <f>IF(I610="Rob","Robusta",IF(I610="Exc","Excelsa",IF(I610="Ara","Arabica",IF(I610="Lib","Liberica",""))))</f>
        <v>Excelsa</v>
      </c>
      <c r="O610" t="str">
        <f t="shared" si="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f>L611*E611</f>
        <v>26.19</v>
      </c>
      <c r="N611" t="str">
        <f>IF(I611="Rob","Robusta",IF(I611="Exc","Excelsa",IF(I611="Ara","Arabica",IF(I611="Lib","Liberica",""))))</f>
        <v>Liberica</v>
      </c>
      <c r="O611" t="str">
        <f t="shared" si="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f>L612*E612</f>
        <v>39.799999999999997</v>
      </c>
      <c r="N612" t="str">
        <f>IF(I612="Rob","Robusta",IF(I612="Exc","Excelsa",IF(I612="Ara","Arabica",IF(I612="Lib","Liberica",""))))</f>
        <v>Robusta</v>
      </c>
      <c r="O612" t="str">
        <f t="shared" si="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f>L613*E613</f>
        <v>68.309999999999988</v>
      </c>
      <c r="N613" t="str">
        <f>IF(I613="Rob","Robusta",IF(I613="Exc","Excelsa",IF(I613="Ara","Arabica",IF(I613="Lib","Liberica",""))))</f>
        <v>Excelsa</v>
      </c>
      <c r="O613" t="str">
        <f t="shared" si="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f>L614*E614</f>
        <v>13.5</v>
      </c>
      <c r="N614" t="str">
        <f>IF(I614="Rob","Robusta",IF(I614="Exc","Excelsa",IF(I614="Ara","Arabica",IF(I614="Lib","Liberica",""))))</f>
        <v>Arabica</v>
      </c>
      <c r="O614" t="str">
        <f t="shared" si="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f>L615*E615</f>
        <v>5.97</v>
      </c>
      <c r="N615" t="str">
        <f>IF(I615="Rob","Robusta",IF(I615="Exc","Excelsa",IF(I615="Ara","Arabica",IF(I615="Lib","Liberica",""))))</f>
        <v>Robusta</v>
      </c>
      <c r="O615" t="str">
        <f t="shared" si="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f>L616*E616</f>
        <v>29.849999999999998</v>
      </c>
      <c r="N616" t="str">
        <f>IF(I616="Rob","Robusta",IF(I616="Exc","Excelsa",IF(I616="Ara","Arabica",IF(I616="Lib","Liberica",""))))</f>
        <v>Robusta</v>
      </c>
      <c r="O616" t="str">
        <f t="shared" si="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f>L617*E617</f>
        <v>72.91</v>
      </c>
      <c r="N617" t="str">
        <f>IF(I617="Rob","Robusta",IF(I617="Exc","Excelsa",IF(I617="Ara","Arabica",IF(I617="Lib","Liberica",""))))</f>
        <v>Liberica</v>
      </c>
      <c r="O617" t="str">
        <f t="shared" si="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f>L618*E618</f>
        <v>126.49999999999999</v>
      </c>
      <c r="N618" t="str">
        <f>IF(I618="Rob","Robusta",IF(I618="Exc","Excelsa",IF(I618="Ara","Arabica",IF(I618="Lib","Liberica",""))))</f>
        <v>Excelsa</v>
      </c>
      <c r="O618" t="str">
        <f t="shared" si="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f>L619*E619</f>
        <v>33.464999999999996</v>
      </c>
      <c r="N619" t="str">
        <f>IF(I619="Rob","Robusta",IF(I619="Exc","Excelsa",IF(I619="Ara","Arabica",IF(I619="Lib","Liberica",""))))</f>
        <v>Liberica</v>
      </c>
      <c r="O619" t="str">
        <f t="shared" si="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f>L620*E620</f>
        <v>72.900000000000006</v>
      </c>
      <c r="N620" t="str">
        <f>IF(I620="Rob","Robusta",IF(I620="Exc","Excelsa",IF(I620="Ara","Arabica",IF(I620="Lib","Liberica",""))))</f>
        <v>Excelsa</v>
      </c>
      <c r="O620" t="str">
        <f t="shared" si="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f>L621*E621</f>
        <v>15.54</v>
      </c>
      <c r="N621" t="str">
        <f>IF(I621="Rob","Robusta",IF(I621="Exc","Excelsa",IF(I621="Ara","Arabica",IF(I621="Lib","Liberica",""))))</f>
        <v>Liberica</v>
      </c>
      <c r="O621" t="str">
        <f t="shared" si="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f>L622*E622</f>
        <v>20.25</v>
      </c>
      <c r="N622" t="str">
        <f>IF(I622="Rob","Robusta",IF(I622="Exc","Excelsa",IF(I622="Ara","Arabica",IF(I622="Lib","Liberica",""))))</f>
        <v>Arabica</v>
      </c>
      <c r="O622" t="str">
        <f t="shared" si="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f>L623*E623</f>
        <v>77.699999999999989</v>
      </c>
      <c r="N623" t="str">
        <f>IF(I623="Rob","Robusta",IF(I623="Exc","Excelsa",IF(I623="Ara","Arabica",IF(I623="Lib","Liberica",""))))</f>
        <v>Arabica</v>
      </c>
      <c r="O623" t="str">
        <f t="shared" si="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f>L624*E624</f>
        <v>133.85999999999999</v>
      </c>
      <c r="N624" t="str">
        <f>IF(I624="Rob","Robusta",IF(I624="Exc","Excelsa",IF(I624="Ara","Arabica",IF(I624="Lib","Liberica",""))))</f>
        <v>Liberica</v>
      </c>
      <c r="O624" t="str">
        <f t="shared" si="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f>L625*E625</f>
        <v>12.15</v>
      </c>
      <c r="N625" t="str">
        <f>IF(I625="Rob","Robusta",IF(I625="Exc","Excelsa",IF(I625="Ara","Arabica",IF(I625="Lib","Liberica",""))))</f>
        <v>Excelsa</v>
      </c>
      <c r="O625" t="str">
        <f t="shared" si="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f>L626*E626</f>
        <v>63.249999999999993</v>
      </c>
      <c r="N626" t="str">
        <f>IF(I626="Rob","Robusta",IF(I626="Exc","Excelsa",IF(I626="Ara","Arabica",IF(I626="Lib","Liberica",""))))</f>
        <v>Excelsa</v>
      </c>
      <c r="O626" t="str">
        <f t="shared" si="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f>L627*E627</f>
        <v>35.849999999999994</v>
      </c>
      <c r="N627" t="str">
        <f>IF(I627="Rob","Robusta",IF(I627="Exc","Excelsa",IF(I627="Ara","Arabica",IF(I627="Lib","Liberica",""))))</f>
        <v>Robusta</v>
      </c>
      <c r="O627" t="str">
        <f t="shared" si="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f>L628*E628</f>
        <v>77.624999999999986</v>
      </c>
      <c r="N628" t="str">
        <f>IF(I628="Rob","Robusta",IF(I628="Exc","Excelsa",IF(I628="Ara","Arabica",IF(I628="Lib","Liberica",""))))</f>
        <v>Arabica</v>
      </c>
      <c r="O628" t="str">
        <f t="shared" si="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f>L629*E629</f>
        <v>63.249999999999993</v>
      </c>
      <c r="N629" t="str">
        <f>IF(I629="Rob","Robusta",IF(I629="Exc","Excelsa",IF(I629="Ara","Arabica",IF(I629="Lib","Liberica",""))))</f>
        <v>Excelsa</v>
      </c>
      <c r="O629" t="str">
        <f t="shared" si="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f>L630*E630</f>
        <v>26.73</v>
      </c>
      <c r="N630" t="str">
        <f>IF(I630="Rob","Robusta",IF(I630="Exc","Excelsa",IF(I630="Ara","Arabica",IF(I630="Lib","Liberica",""))))</f>
        <v>Excelsa</v>
      </c>
      <c r="O630" t="str">
        <f t="shared" si="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f>L631*E631</f>
        <v>31.08</v>
      </c>
      <c r="N631" t="str">
        <f>IF(I631="Rob","Robusta",IF(I631="Exc","Excelsa",IF(I631="Ara","Arabica",IF(I631="Lib","Liberica",""))))</f>
        <v>Liberica</v>
      </c>
      <c r="O631" t="str">
        <f t="shared" si="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f>L632*E632</f>
        <v>2.9849999999999999</v>
      </c>
      <c r="N632" t="str">
        <f>IF(I632="Rob","Robusta",IF(I632="Exc","Excelsa",IF(I632="Ara","Arabica",IF(I632="Lib","Liberica",""))))</f>
        <v>Arabica</v>
      </c>
      <c r="O632" t="str">
        <f t="shared" si="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f>L633*E633</f>
        <v>102.92499999999998</v>
      </c>
      <c r="N633" t="str">
        <f>IF(I633="Rob","Robusta",IF(I633="Exc","Excelsa",IF(I633="Ara","Arabica",IF(I633="Lib","Liberica",""))))</f>
        <v>Robusta</v>
      </c>
      <c r="O633" t="str">
        <f t="shared" si="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f>L634*E634</f>
        <v>35.64</v>
      </c>
      <c r="N634" t="str">
        <f>IF(I634="Rob","Robusta",IF(I634="Exc","Excelsa",IF(I634="Ara","Arabica",IF(I634="Lib","Liberica",""))))</f>
        <v>Excelsa</v>
      </c>
      <c r="O634" t="str">
        <f t="shared" si="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f>L635*E635</f>
        <v>47.8</v>
      </c>
      <c r="N635" t="str">
        <f>IF(I635="Rob","Robusta",IF(I635="Exc","Excelsa",IF(I635="Ara","Arabica",IF(I635="Lib","Liberica",""))))</f>
        <v>Robusta</v>
      </c>
      <c r="O635" t="str">
        <f t="shared" si="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f>L636*E636</f>
        <v>43.650000000000006</v>
      </c>
      <c r="N636" t="str">
        <f>IF(I636="Rob","Robusta",IF(I636="Exc","Excelsa",IF(I636="Ara","Arabica",IF(I636="Lib","Liberica",""))))</f>
        <v>Liberica</v>
      </c>
      <c r="O636" t="str">
        <f t="shared" si="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f>L637*E637</f>
        <v>35.64</v>
      </c>
      <c r="N637" t="str">
        <f>IF(I637="Rob","Robusta",IF(I637="Exc","Excelsa",IF(I637="Ara","Arabica",IF(I637="Lib","Liberica",""))))</f>
        <v>Excelsa</v>
      </c>
      <c r="O637" t="str">
        <f t="shared" si="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f>L638*E638</f>
        <v>95.1</v>
      </c>
      <c r="N638" t="str">
        <f>IF(I638="Rob","Robusta",IF(I638="Exc","Excelsa",IF(I638="Ara","Arabica",IF(I638="Lib","Liberica",""))))</f>
        <v>Liberica</v>
      </c>
      <c r="O638" t="str">
        <f t="shared" si="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f>L639*E639</f>
        <v>31.624999999999996</v>
      </c>
      <c r="N639" t="str">
        <f>IF(I639="Rob","Robusta",IF(I639="Exc","Excelsa",IF(I639="Ara","Arabica",IF(I639="Lib","Liberica",""))))</f>
        <v>Excelsa</v>
      </c>
      <c r="O639" t="str">
        <f t="shared" si="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f>L640*E640</f>
        <v>77.624999999999986</v>
      </c>
      <c r="N640" t="str">
        <f>IF(I640="Rob","Robusta",IF(I640="Exc","Excelsa",IF(I640="Ara","Arabica",IF(I640="Lib","Liberica",""))))</f>
        <v>Arabica</v>
      </c>
      <c r="O640" t="str">
        <f t="shared" si="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f>L641*E641</f>
        <v>3.8849999999999998</v>
      </c>
      <c r="N641" t="str">
        <f>IF(I641="Rob","Robusta",IF(I641="Exc","Excelsa",IF(I641="Ara","Arabica",IF(I641="Lib","Liberica",""))))</f>
        <v>Liberica</v>
      </c>
      <c r="O641" t="str">
        <f t="shared" si="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f>L642*E642</f>
        <v>137.42499999999998</v>
      </c>
      <c r="N642" t="str">
        <f>IF(I642="Rob","Robusta",IF(I642="Exc","Excelsa",IF(I642="Ara","Arabica",IF(I642="Lib","Liberica",""))))</f>
        <v>Robusta</v>
      </c>
      <c r="O642" t="str">
        <f t="shared" ref="O642:O705" si="10">IF(J642="M","Medium",IF(J642="L","Light",IF(J642="D","Dark","")))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f>L643*E643</f>
        <v>35.849999999999994</v>
      </c>
      <c r="N643" t="str">
        <f>IF(I643="Rob","Robusta",IF(I643="Exc","Excelsa",IF(I643="Ara","Arabica",IF(I643="Lib","Liberica",""))))</f>
        <v>Robusta</v>
      </c>
      <c r="O643" t="str">
        <f t="shared" si="10"/>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f>L644*E644</f>
        <v>8.25</v>
      </c>
      <c r="N644" t="str">
        <f>IF(I644="Rob","Robusta",IF(I644="Exc","Excelsa",IF(I644="Ara","Arabica",IF(I644="Lib","Liberica",""))))</f>
        <v>Excelsa</v>
      </c>
      <c r="O644" t="str">
        <f t="shared" si="10"/>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f>L645*E645</f>
        <v>102.46499999999997</v>
      </c>
      <c r="N645" t="str">
        <f>IF(I645="Rob","Robusta",IF(I645="Exc","Excelsa",IF(I645="Ara","Arabica",IF(I645="Lib","Liberica",""))))</f>
        <v>Excelsa</v>
      </c>
      <c r="O645" t="str">
        <f t="shared" si="10"/>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f>L646*E646</f>
        <v>41.169999999999995</v>
      </c>
      <c r="N646" t="str">
        <f>IF(I646="Rob","Robusta",IF(I646="Exc","Excelsa",IF(I646="Ara","Arabica",IF(I646="Lib","Liberica",""))))</f>
        <v>Robusta</v>
      </c>
      <c r="O646" t="str">
        <f t="shared" si="10"/>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f>L647*E647</f>
        <v>68.655000000000001</v>
      </c>
      <c r="N647" t="str">
        <f>IF(I647="Rob","Robusta",IF(I647="Exc","Excelsa",IF(I647="Ara","Arabica",IF(I647="Lib","Liberica",""))))</f>
        <v>Arabica</v>
      </c>
      <c r="O647" t="str">
        <f t="shared" si="10"/>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f>L648*E648</f>
        <v>9.9499999999999993</v>
      </c>
      <c r="N648" t="str">
        <f>IF(I648="Rob","Robusta",IF(I648="Exc","Excelsa",IF(I648="Ara","Arabica",IF(I648="Lib","Liberica",""))))</f>
        <v>Arabica</v>
      </c>
      <c r="O648" t="str">
        <f t="shared" si="10"/>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f>L649*E649</f>
        <v>28.53</v>
      </c>
      <c r="N649" t="str">
        <f>IF(I649="Rob","Robusta",IF(I649="Exc","Excelsa",IF(I649="Ara","Arabica",IF(I649="Lib","Liberica",""))))</f>
        <v>Liberica</v>
      </c>
      <c r="O649" t="str">
        <f t="shared" si="10"/>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f>L650*E650</f>
        <v>16.11</v>
      </c>
      <c r="N650" t="str">
        <f>IF(I650="Rob","Robusta",IF(I650="Exc","Excelsa",IF(I650="Ara","Arabica",IF(I650="Lib","Liberica",""))))</f>
        <v>Robusta</v>
      </c>
      <c r="O650" t="str">
        <f t="shared" si="10"/>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f>L651*E651</f>
        <v>95.1</v>
      </c>
      <c r="N651" t="str">
        <f>IF(I651="Rob","Robusta",IF(I651="Exc","Excelsa",IF(I651="Ara","Arabica",IF(I651="Lib","Liberica",""))))</f>
        <v>Liberica</v>
      </c>
      <c r="O651" t="str">
        <f t="shared" si="10"/>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f>L652*E652</f>
        <v>5.3699999999999992</v>
      </c>
      <c r="N652" t="str">
        <f>IF(I652="Rob","Robusta",IF(I652="Exc","Excelsa",IF(I652="Ara","Arabica",IF(I652="Lib","Liberica",""))))</f>
        <v>Robusta</v>
      </c>
      <c r="O652" t="str">
        <f t="shared" si="10"/>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f>L653*E653</f>
        <v>47.8</v>
      </c>
      <c r="N653" t="str">
        <f>IF(I653="Rob","Robusta",IF(I653="Exc","Excelsa",IF(I653="Ara","Arabica",IF(I653="Lib","Liberica",""))))</f>
        <v>Robusta</v>
      </c>
      <c r="O653" t="str">
        <f t="shared" si="10"/>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f>L654*E654</f>
        <v>63.4</v>
      </c>
      <c r="N654" t="str">
        <f>IF(I654="Rob","Robusta",IF(I654="Exc","Excelsa",IF(I654="Ara","Arabica",IF(I654="Lib","Liberica",""))))</f>
        <v>Liberica</v>
      </c>
      <c r="O654" t="str">
        <f t="shared" si="10"/>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f>L655*E655</f>
        <v>103.49999999999999</v>
      </c>
      <c r="N655" t="str">
        <f>IF(I655="Rob","Robusta",IF(I655="Exc","Excelsa",IF(I655="Ara","Arabica",IF(I655="Lib","Liberica",""))))</f>
        <v>Arabica</v>
      </c>
      <c r="O655" t="str">
        <f t="shared" si="10"/>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f>L656*E656</f>
        <v>68.655000000000001</v>
      </c>
      <c r="N656" t="str">
        <f>IF(I656="Rob","Robusta",IF(I656="Exc","Excelsa",IF(I656="Ara","Arabica",IF(I656="Lib","Liberica",""))))</f>
        <v>Arabica</v>
      </c>
      <c r="O656" t="str">
        <f t="shared" si="10"/>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f>L657*E657</f>
        <v>45.769999999999996</v>
      </c>
      <c r="N657" t="str">
        <f>IF(I657="Rob","Robusta",IF(I657="Exc","Excelsa",IF(I657="Ara","Arabica",IF(I657="Lib","Liberica",""))))</f>
        <v>Robusta</v>
      </c>
      <c r="O657" t="str">
        <f t="shared" si="10"/>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f>L658*E658</f>
        <v>51.8</v>
      </c>
      <c r="N658" t="str">
        <f>IF(I658="Rob","Robusta",IF(I658="Exc","Excelsa",IF(I658="Ara","Arabica",IF(I658="Lib","Liberica",""))))</f>
        <v>Liberica</v>
      </c>
      <c r="O658" t="str">
        <f t="shared" si="10"/>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f>L659*E659</f>
        <v>13.5</v>
      </c>
      <c r="N659" t="str">
        <f>IF(I659="Rob","Robusta",IF(I659="Exc","Excelsa",IF(I659="Ara","Arabica",IF(I659="Lib","Liberica",""))))</f>
        <v>Arabica</v>
      </c>
      <c r="O659" t="str">
        <f t="shared" si="10"/>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f>L660*E660</f>
        <v>24.75</v>
      </c>
      <c r="N660" t="str">
        <f>IF(I660="Rob","Robusta",IF(I660="Exc","Excelsa",IF(I660="Ara","Arabica",IF(I660="Lib","Liberica",""))))</f>
        <v>Excelsa</v>
      </c>
      <c r="O660" t="str">
        <f t="shared" si="10"/>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f>L661*E661</f>
        <v>45.769999999999996</v>
      </c>
      <c r="N661" t="str">
        <f>IF(I661="Rob","Robusta",IF(I661="Exc","Excelsa",IF(I661="Ara","Arabica",IF(I661="Lib","Liberica",""))))</f>
        <v>Arabica</v>
      </c>
      <c r="O661" t="str">
        <f t="shared" si="10"/>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f>L662*E662</f>
        <v>53.46</v>
      </c>
      <c r="N662" t="str">
        <f>IF(I662="Rob","Robusta",IF(I662="Exc","Excelsa",IF(I662="Ara","Arabica",IF(I662="Lib","Liberica",""))))</f>
        <v>Excelsa</v>
      </c>
      <c r="O662" t="str">
        <f t="shared" si="10"/>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f>L663*E663</f>
        <v>20.25</v>
      </c>
      <c r="N663" t="str">
        <f>IF(I663="Rob","Robusta",IF(I663="Exc","Excelsa",IF(I663="Ara","Arabica",IF(I663="Lib","Liberica",""))))</f>
        <v>Arabica</v>
      </c>
      <c r="O663" t="str">
        <f t="shared" si="10"/>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f>L664*E664</f>
        <v>148.92499999999998</v>
      </c>
      <c r="N664" t="str">
        <f>IF(I664="Rob","Robusta",IF(I664="Exc","Excelsa",IF(I664="Ara","Arabica",IF(I664="Lib","Liberica",""))))</f>
        <v>Liberica</v>
      </c>
      <c r="O664" t="str">
        <f t="shared" si="10"/>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f>L665*E665</f>
        <v>67.5</v>
      </c>
      <c r="N665" t="str">
        <f>IF(I665="Rob","Robusta",IF(I665="Exc","Excelsa",IF(I665="Ara","Arabica",IF(I665="Lib","Liberica",""))))</f>
        <v>Arabica</v>
      </c>
      <c r="O665" t="str">
        <f t="shared" si="10"/>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f>L666*E666</f>
        <v>72.900000000000006</v>
      </c>
      <c r="N666" t="str">
        <f>IF(I666="Rob","Robusta",IF(I666="Exc","Excelsa",IF(I666="Ara","Arabica",IF(I666="Lib","Liberica",""))))</f>
        <v>Excelsa</v>
      </c>
      <c r="O666" t="str">
        <f t="shared" si="10"/>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f>L667*E667</f>
        <v>7.77</v>
      </c>
      <c r="N667" t="str">
        <f>IF(I667="Rob","Robusta",IF(I667="Exc","Excelsa",IF(I667="Ara","Arabica",IF(I667="Lib","Liberica",""))))</f>
        <v>Liberica</v>
      </c>
      <c r="O667" t="str">
        <f t="shared" si="10"/>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f>L668*E668</f>
        <v>91.539999999999992</v>
      </c>
      <c r="N668" t="str">
        <f>IF(I668="Rob","Robusta",IF(I668="Exc","Excelsa",IF(I668="Ara","Arabica",IF(I668="Lib","Liberica",""))))</f>
        <v>Arabica</v>
      </c>
      <c r="O668" t="str">
        <f t="shared" si="10"/>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f>L669*E669</f>
        <v>59.699999999999996</v>
      </c>
      <c r="N669" t="str">
        <f>IF(I669="Rob","Robusta",IF(I669="Exc","Excelsa",IF(I669="Ara","Arabica",IF(I669="Lib","Liberica",""))))</f>
        <v>Arabica</v>
      </c>
      <c r="O669" t="str">
        <f t="shared" si="10"/>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f>L670*E670</f>
        <v>137.42499999999998</v>
      </c>
      <c r="N670" t="str">
        <f>IF(I670="Rob","Robusta",IF(I670="Exc","Excelsa",IF(I670="Ara","Arabica",IF(I670="Lib","Liberica",""))))</f>
        <v>Robusta</v>
      </c>
      <c r="O670" t="str">
        <f t="shared" si="10"/>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f>L671*E671</f>
        <v>66.929999999999993</v>
      </c>
      <c r="N671" t="str">
        <f>IF(I671="Rob","Robusta",IF(I671="Exc","Excelsa",IF(I671="Ara","Arabica",IF(I671="Lib","Liberica",""))))</f>
        <v>Liberica</v>
      </c>
      <c r="O671" t="str">
        <f t="shared" si="10"/>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f>L672*E672</f>
        <v>13.095000000000001</v>
      </c>
      <c r="N672" t="str">
        <f>IF(I672="Rob","Robusta",IF(I672="Exc","Excelsa",IF(I672="Ara","Arabica",IF(I672="Lib","Liberica",""))))</f>
        <v>Liberica</v>
      </c>
      <c r="O672" t="str">
        <f t="shared" si="10"/>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f>L673*E673</f>
        <v>59.75</v>
      </c>
      <c r="N673" t="str">
        <f>IF(I673="Rob","Robusta",IF(I673="Exc","Excelsa",IF(I673="Ara","Arabica",IF(I673="Lib","Liberica",""))))</f>
        <v>Robusta</v>
      </c>
      <c r="O673" t="str">
        <f t="shared" si="10"/>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f>L674*E674</f>
        <v>43.650000000000006</v>
      </c>
      <c r="N674" t="str">
        <f>IF(I674="Rob","Robusta",IF(I674="Exc","Excelsa",IF(I674="Ara","Arabica",IF(I674="Lib","Liberica",""))))</f>
        <v>Liberica</v>
      </c>
      <c r="O674" t="str">
        <f t="shared" si="10"/>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f>L675*E675</f>
        <v>82.5</v>
      </c>
      <c r="N675" t="str">
        <f>IF(I675="Rob","Robusta",IF(I675="Exc","Excelsa",IF(I675="Ara","Arabica",IF(I675="Lib","Liberica",""))))</f>
        <v>Excelsa</v>
      </c>
      <c r="O675" t="str">
        <f t="shared" si="10"/>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f>L676*E676</f>
        <v>178.70999999999998</v>
      </c>
      <c r="N676" t="str">
        <f>IF(I676="Rob","Robusta",IF(I676="Exc","Excelsa",IF(I676="Ara","Arabica",IF(I676="Lib","Liberica",""))))</f>
        <v>Arabica</v>
      </c>
      <c r="O676" t="str">
        <f t="shared" si="10"/>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f>L677*E677</f>
        <v>119.13999999999999</v>
      </c>
      <c r="N677" t="str">
        <f>IF(I677="Rob","Robusta",IF(I677="Exc","Excelsa",IF(I677="Ara","Arabica",IF(I677="Lib","Liberica",""))))</f>
        <v>Liberica</v>
      </c>
      <c r="O677" t="str">
        <f t="shared" si="10"/>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f>L678*E678</f>
        <v>47.55</v>
      </c>
      <c r="N678" t="str">
        <f>IF(I678="Rob","Robusta",IF(I678="Exc","Excelsa",IF(I678="Ara","Arabica",IF(I678="Lib","Liberica",""))))</f>
        <v>Liberica</v>
      </c>
      <c r="O678" t="str">
        <f t="shared" si="10"/>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f>L679*E679</f>
        <v>43.650000000000006</v>
      </c>
      <c r="N679" t="str">
        <f>IF(I679="Rob","Robusta",IF(I679="Exc","Excelsa",IF(I679="Ara","Arabica",IF(I679="Lib","Liberica",""))))</f>
        <v>Liberica</v>
      </c>
      <c r="O679" t="str">
        <f t="shared" si="10"/>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f>L680*E680</f>
        <v>178.70999999999998</v>
      </c>
      <c r="N680" t="str">
        <f>IF(I680="Rob","Robusta",IF(I680="Exc","Excelsa",IF(I680="Ara","Arabica",IF(I680="Lib","Liberica",""))))</f>
        <v>Arabica</v>
      </c>
      <c r="O680" t="str">
        <f t="shared" si="10"/>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f>L681*E681</f>
        <v>27.484999999999996</v>
      </c>
      <c r="N681" t="str">
        <f>IF(I681="Rob","Robusta",IF(I681="Exc","Excelsa",IF(I681="Ara","Arabica",IF(I681="Lib","Liberica",""))))</f>
        <v>Robusta</v>
      </c>
      <c r="O681" t="str">
        <f t="shared" si="10"/>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f>L682*E682</f>
        <v>56.25</v>
      </c>
      <c r="N682" t="str">
        <f>IF(I682="Rob","Robusta",IF(I682="Exc","Excelsa",IF(I682="Ara","Arabica",IF(I682="Lib","Liberica",""))))</f>
        <v>Arabica</v>
      </c>
      <c r="O682" t="str">
        <f t="shared" si="10"/>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f>L683*E683</f>
        <v>9.51</v>
      </c>
      <c r="N683" t="str">
        <f>IF(I683="Rob","Robusta",IF(I683="Exc","Excelsa",IF(I683="Ara","Arabica",IF(I683="Lib","Liberica",""))))</f>
        <v>Liberica</v>
      </c>
      <c r="O683" t="str">
        <f t="shared" si="10"/>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f>L684*E684</f>
        <v>8.25</v>
      </c>
      <c r="N684" t="str">
        <f>IF(I684="Rob","Robusta",IF(I684="Exc","Excelsa",IF(I684="Ara","Arabica",IF(I684="Lib","Liberica",""))))</f>
        <v>Excelsa</v>
      </c>
      <c r="O684" t="str">
        <f t="shared" si="10"/>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f>L685*E685</f>
        <v>46.62</v>
      </c>
      <c r="N685" t="str">
        <f>IF(I685="Rob","Robusta",IF(I685="Exc","Excelsa",IF(I685="Ara","Arabica",IF(I685="Lib","Liberica",""))))</f>
        <v>Liberica</v>
      </c>
      <c r="O685" t="str">
        <f t="shared" si="10"/>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f>L686*E686</f>
        <v>71.699999999999989</v>
      </c>
      <c r="N686" t="str">
        <f>IF(I686="Rob","Robusta",IF(I686="Exc","Excelsa",IF(I686="Ara","Arabica",IF(I686="Lib","Liberica",""))))</f>
        <v>Robusta</v>
      </c>
      <c r="O686" t="str">
        <f t="shared" si="10"/>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f>L687*E687</f>
        <v>72.91</v>
      </c>
      <c r="N687" t="str">
        <f>IF(I687="Rob","Robusta",IF(I687="Exc","Excelsa",IF(I687="Ara","Arabica",IF(I687="Lib","Liberica",""))))</f>
        <v>Liberica</v>
      </c>
      <c r="O687" t="str">
        <f t="shared" si="10"/>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f>L688*E688</f>
        <v>8.0549999999999997</v>
      </c>
      <c r="N688" t="str">
        <f>IF(I688="Rob","Robusta",IF(I688="Exc","Excelsa",IF(I688="Ara","Arabica",IF(I688="Lib","Liberica",""))))</f>
        <v>Robusta</v>
      </c>
      <c r="O688" t="str">
        <f t="shared" si="10"/>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f>L689*E689</f>
        <v>16.5</v>
      </c>
      <c r="N689" t="str">
        <f>IF(I689="Rob","Robusta",IF(I689="Exc","Excelsa",IF(I689="Ara","Arabica",IF(I689="Lib","Liberica",""))))</f>
        <v>Excelsa</v>
      </c>
      <c r="O689" t="str">
        <f t="shared" si="10"/>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f>L690*E690</f>
        <v>64.75</v>
      </c>
      <c r="N690" t="str">
        <f>IF(I690="Rob","Robusta",IF(I690="Exc","Excelsa",IF(I690="Ara","Arabica",IF(I690="Lib","Liberica",""))))</f>
        <v>Arabica</v>
      </c>
      <c r="O690" t="str">
        <f t="shared" si="10"/>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f>L691*E691</f>
        <v>33.75</v>
      </c>
      <c r="N691" t="str">
        <f>IF(I691="Rob","Robusta",IF(I691="Exc","Excelsa",IF(I691="Ara","Arabica",IF(I691="Lib","Liberica",""))))</f>
        <v>Arabica</v>
      </c>
      <c r="O691" t="str">
        <f t="shared" si="10"/>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f>L692*E692</f>
        <v>178.70999999999998</v>
      </c>
      <c r="N692" t="str">
        <f>IF(I692="Rob","Robusta",IF(I692="Exc","Excelsa",IF(I692="Ara","Arabica",IF(I692="Lib","Liberica",""))))</f>
        <v>Liberica</v>
      </c>
      <c r="O692" t="str">
        <f t="shared" si="10"/>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f>L693*E693</f>
        <v>22.5</v>
      </c>
      <c r="N693" t="str">
        <f>IF(I693="Rob","Robusta",IF(I693="Exc","Excelsa",IF(I693="Ara","Arabica",IF(I693="Lib","Liberica",""))))</f>
        <v>Arabica</v>
      </c>
      <c r="O693" t="str">
        <f t="shared" si="10"/>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f>L694*E694</f>
        <v>12.95</v>
      </c>
      <c r="N694" t="str">
        <f>IF(I694="Rob","Robusta",IF(I694="Exc","Excelsa",IF(I694="Ara","Arabica",IF(I694="Lib","Liberica",""))))</f>
        <v>Liberica</v>
      </c>
      <c r="O694" t="str">
        <f t="shared" si="10"/>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f>L695*E695</f>
        <v>51.749999999999993</v>
      </c>
      <c r="N695" t="str">
        <f>IF(I695="Rob","Robusta",IF(I695="Exc","Excelsa",IF(I695="Ara","Arabica",IF(I695="Lib","Liberica",""))))</f>
        <v>Arabica</v>
      </c>
      <c r="O695" t="str">
        <f t="shared" si="10"/>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f>L696*E696</f>
        <v>36.450000000000003</v>
      </c>
      <c r="N696" t="str">
        <f>IF(I696="Rob","Robusta",IF(I696="Exc","Excelsa",IF(I696="Ara","Arabica",IF(I696="Lib","Liberica",""))))</f>
        <v>Excelsa</v>
      </c>
      <c r="O696" t="str">
        <f t="shared" si="10"/>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f>L697*E697</f>
        <v>182.27499999999998</v>
      </c>
      <c r="N697" t="str">
        <f>IF(I697="Rob","Robusta",IF(I697="Exc","Excelsa",IF(I697="Ara","Arabica",IF(I697="Lib","Liberica",""))))</f>
        <v>Liberica</v>
      </c>
      <c r="O697" t="str">
        <f t="shared" si="10"/>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f>L698*E698</f>
        <v>31.08</v>
      </c>
      <c r="N698" t="str">
        <f>IF(I698="Rob","Robusta",IF(I698="Exc","Excelsa",IF(I698="Ara","Arabica",IF(I698="Lib","Liberica",""))))</f>
        <v>Liberica</v>
      </c>
      <c r="O698" t="str">
        <f t="shared" si="10"/>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f>L699*E699</f>
        <v>20.25</v>
      </c>
      <c r="N699" t="str">
        <f>IF(I699="Rob","Robusta",IF(I699="Exc","Excelsa",IF(I699="Ara","Arabica",IF(I699="Lib","Liberica",""))))</f>
        <v>Arabica</v>
      </c>
      <c r="O699" t="str">
        <f t="shared" si="10"/>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f>L700*E700</f>
        <v>25.9</v>
      </c>
      <c r="N700" t="str">
        <f>IF(I700="Rob","Robusta",IF(I700="Exc","Excelsa",IF(I700="Ara","Arabica",IF(I700="Lib","Liberica",""))))</f>
        <v>Liberica</v>
      </c>
      <c r="O700" t="str">
        <f t="shared" si="10"/>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f>L701*E701</f>
        <v>23.88</v>
      </c>
      <c r="N701" t="str">
        <f>IF(I701="Rob","Robusta",IF(I701="Exc","Excelsa",IF(I701="Ara","Arabica",IF(I701="Lib","Liberica",""))))</f>
        <v>Arabica</v>
      </c>
      <c r="O701" t="str">
        <f t="shared" si="10"/>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f>L702*E702</f>
        <v>19.02</v>
      </c>
      <c r="N702" t="str">
        <f>IF(I702="Rob","Robusta",IF(I702="Exc","Excelsa",IF(I702="Ara","Arabica",IF(I702="Lib","Liberica",""))))</f>
        <v>Liberica</v>
      </c>
      <c r="O702" t="str">
        <f t="shared" si="10"/>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f>L703*E703</f>
        <v>29.849999999999998</v>
      </c>
      <c r="N703" t="str">
        <f>IF(I703="Rob","Robusta",IF(I703="Exc","Excelsa",IF(I703="Ara","Arabica",IF(I703="Lib","Liberica",""))))</f>
        <v>Arabica</v>
      </c>
      <c r="O703" t="str">
        <f t="shared" si="10"/>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f>L704*E704</f>
        <v>7.77</v>
      </c>
      <c r="N704" t="str">
        <f>IF(I704="Rob","Robusta",IF(I704="Exc","Excelsa",IF(I704="Ara","Arabica",IF(I704="Lib","Liberica",""))))</f>
        <v>Arabica</v>
      </c>
      <c r="O704" t="str">
        <f t="shared" si="10"/>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f>L705*E705</f>
        <v>119.13999999999999</v>
      </c>
      <c r="N705" t="str">
        <f>IF(I705="Rob","Robusta",IF(I705="Exc","Excelsa",IF(I705="Ara","Arabica",IF(I705="Lib","Liberica",""))))</f>
        <v>Liberica</v>
      </c>
      <c r="O705" t="str">
        <f t="shared" si="10"/>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f>L706*E706</f>
        <v>21.87</v>
      </c>
      <c r="N706" t="str">
        <f>IF(I706="Rob","Robusta",IF(I706="Exc","Excelsa",IF(I706="Ara","Arabica",IF(I706="Lib","Liberica",""))))</f>
        <v>Excelsa</v>
      </c>
      <c r="O706" t="str">
        <f t="shared" ref="O706:O769" si="11">IF(J706="M","Medium",IF(J706="L","Light",IF(J706="D","Dark","")))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f>L707*E707</f>
        <v>17.82</v>
      </c>
      <c r="N707" t="str">
        <f>IF(I707="Rob","Robusta",IF(I707="Exc","Excelsa",IF(I707="Ara","Arabica",IF(I707="Lib","Liberica",""))))</f>
        <v>Excelsa</v>
      </c>
      <c r="O707" t="str">
        <f t="shared" si="11"/>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f>L708*E708</f>
        <v>12.375</v>
      </c>
      <c r="N708" t="str">
        <f>IF(I708="Rob","Robusta",IF(I708="Exc","Excelsa",IF(I708="Ara","Arabica",IF(I708="Lib","Liberica",""))))</f>
        <v>Excelsa</v>
      </c>
      <c r="O708" t="str">
        <f t="shared" si="11"/>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f>L709*E709</f>
        <v>25.9</v>
      </c>
      <c r="N709" t="str">
        <f>IF(I709="Rob","Robusta",IF(I709="Exc","Excelsa",IF(I709="Ara","Arabica",IF(I709="Lib","Liberica",""))))</f>
        <v>Liberica</v>
      </c>
      <c r="O709" t="str">
        <f t="shared" si="11"/>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f>L710*E710</f>
        <v>13.5</v>
      </c>
      <c r="N710" t="str">
        <f>IF(I710="Rob","Robusta",IF(I710="Exc","Excelsa",IF(I710="Ara","Arabica",IF(I710="Lib","Liberica",""))))</f>
        <v>Arabica</v>
      </c>
      <c r="O710" t="str">
        <f t="shared" si="11"/>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f>L711*E711</f>
        <v>17.82</v>
      </c>
      <c r="N711" t="str">
        <f>IF(I711="Rob","Robusta",IF(I711="Exc","Excelsa",IF(I711="Ara","Arabica",IF(I711="Lib","Liberica",""))))</f>
        <v>Excelsa</v>
      </c>
      <c r="O711" t="str">
        <f t="shared" si="11"/>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f>L712*E712</f>
        <v>24.75</v>
      </c>
      <c r="N712" t="str">
        <f>IF(I712="Rob","Robusta",IF(I712="Exc","Excelsa",IF(I712="Ara","Arabica",IF(I712="Lib","Liberica",""))))</f>
        <v>Excelsa</v>
      </c>
      <c r="O712" t="str">
        <f t="shared" si="11"/>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f>L713*E713</f>
        <v>17.91</v>
      </c>
      <c r="N713" t="str">
        <f>IF(I713="Rob","Robusta",IF(I713="Exc","Excelsa",IF(I713="Ara","Arabica",IF(I713="Lib","Liberica",""))))</f>
        <v>Robusta</v>
      </c>
      <c r="O713" t="str">
        <f t="shared" si="11"/>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f>L714*E714</f>
        <v>16.5</v>
      </c>
      <c r="N714" t="str">
        <f>IF(I714="Rob","Robusta",IF(I714="Exc","Excelsa",IF(I714="Ara","Arabica",IF(I714="Lib","Liberica",""))))</f>
        <v>Excelsa</v>
      </c>
      <c r="O714" t="str">
        <f t="shared" si="11"/>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f>L715*E715</f>
        <v>2.9849999999999999</v>
      </c>
      <c r="N715" t="str">
        <f>IF(I715="Rob","Robusta",IF(I715="Exc","Excelsa",IF(I715="Ara","Arabica",IF(I715="Lib","Liberica",""))))</f>
        <v>Robusta</v>
      </c>
      <c r="O715" t="str">
        <f t="shared" si="11"/>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f>L716*E716</f>
        <v>14.58</v>
      </c>
      <c r="N716" t="str">
        <f>IF(I716="Rob","Robusta",IF(I716="Exc","Excelsa",IF(I716="Ara","Arabica",IF(I716="Lib","Liberica",""))))</f>
        <v>Excelsa</v>
      </c>
      <c r="O716" t="str">
        <f t="shared" si="11"/>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f>L717*E717</f>
        <v>89.1</v>
      </c>
      <c r="N717" t="str">
        <f>IF(I717="Rob","Robusta",IF(I717="Exc","Excelsa",IF(I717="Ara","Arabica",IF(I717="Lib","Liberica",""))))</f>
        <v>Excelsa</v>
      </c>
      <c r="O717" t="str">
        <f t="shared" si="11"/>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f>L718*E718</f>
        <v>35.849999999999994</v>
      </c>
      <c r="N718" t="str">
        <f>IF(I718="Rob","Robusta",IF(I718="Exc","Excelsa",IF(I718="Ara","Arabica",IF(I718="Lib","Liberica",""))))</f>
        <v>Robusta</v>
      </c>
      <c r="O718" t="str">
        <f t="shared" si="11"/>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f>L719*E719</f>
        <v>68.655000000000001</v>
      </c>
      <c r="N719" t="str">
        <f>IF(I719="Rob","Robusta",IF(I719="Exc","Excelsa",IF(I719="Ara","Arabica",IF(I719="Lib","Liberica",""))))</f>
        <v>Arabica</v>
      </c>
      <c r="O719" t="str">
        <f t="shared" si="11"/>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f>L720*E720</f>
        <v>38.849999999999994</v>
      </c>
      <c r="N720" t="str">
        <f>IF(I720="Rob","Robusta",IF(I720="Exc","Excelsa",IF(I720="Ara","Arabica",IF(I720="Lib","Liberica",""))))</f>
        <v>Liberica</v>
      </c>
      <c r="O720" t="str">
        <f t="shared" si="11"/>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f>L721*E721</f>
        <v>79.25</v>
      </c>
      <c r="N721" t="str">
        <f>IF(I721="Rob","Robusta",IF(I721="Exc","Excelsa",IF(I721="Ara","Arabica",IF(I721="Lib","Liberica",""))))</f>
        <v>Liberica</v>
      </c>
      <c r="O721" t="str">
        <f t="shared" si="11"/>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f>L722*E722</f>
        <v>36.450000000000003</v>
      </c>
      <c r="N722" t="str">
        <f>IF(I722="Rob","Robusta",IF(I722="Exc","Excelsa",IF(I722="Ara","Arabica",IF(I722="Lib","Liberica",""))))</f>
        <v>Excelsa</v>
      </c>
      <c r="O722" t="str">
        <f t="shared" si="11"/>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f>L723*E723</f>
        <v>8.9550000000000001</v>
      </c>
      <c r="N723" t="str">
        <f>IF(I723="Rob","Robusta",IF(I723="Exc","Excelsa",IF(I723="Ara","Arabica",IF(I723="Lib","Liberica",""))))</f>
        <v>Robusta</v>
      </c>
      <c r="O723" t="str">
        <f t="shared" si="11"/>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f>L724*E724</f>
        <v>24.3</v>
      </c>
      <c r="N724" t="str">
        <f>IF(I724="Rob","Robusta",IF(I724="Exc","Excelsa",IF(I724="Ara","Arabica",IF(I724="Lib","Liberica",""))))</f>
        <v>Excelsa</v>
      </c>
      <c r="O724" t="str">
        <f t="shared" si="11"/>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f>L725*E725</f>
        <v>63.249999999999993</v>
      </c>
      <c r="N725" t="str">
        <f>IF(I725="Rob","Robusta",IF(I725="Exc","Excelsa",IF(I725="Ara","Arabica",IF(I725="Lib","Liberica",""))))</f>
        <v>Excelsa</v>
      </c>
      <c r="O725" t="str">
        <f t="shared" si="11"/>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f>L726*E726</f>
        <v>6.75</v>
      </c>
      <c r="N726" t="str">
        <f>IF(I726="Rob","Robusta",IF(I726="Exc","Excelsa",IF(I726="Ara","Arabica",IF(I726="Lib","Liberica",""))))</f>
        <v>Arabica</v>
      </c>
      <c r="O726" t="str">
        <f t="shared" si="11"/>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f>L727*E727</f>
        <v>23.31</v>
      </c>
      <c r="N727" t="str">
        <f>IF(I727="Rob","Robusta",IF(I727="Exc","Excelsa",IF(I727="Ara","Arabica",IF(I727="Lib","Liberica",""))))</f>
        <v>Arabica</v>
      </c>
      <c r="O727" t="str">
        <f t="shared" si="11"/>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f>L728*E728</f>
        <v>145.82</v>
      </c>
      <c r="N728" t="str">
        <f>IF(I728="Rob","Robusta",IF(I728="Exc","Excelsa",IF(I728="Ara","Arabica",IF(I728="Lib","Liberica",""))))</f>
        <v>Liberica</v>
      </c>
      <c r="O728" t="str">
        <f t="shared" si="11"/>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f>L729*E729</f>
        <v>29.849999999999998</v>
      </c>
      <c r="N729" t="str">
        <f>IF(I729="Rob","Robusta",IF(I729="Exc","Excelsa",IF(I729="Ara","Arabica",IF(I729="Lib","Liberica",""))))</f>
        <v>Robusta</v>
      </c>
      <c r="O729" t="str">
        <f t="shared" si="11"/>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f>L730*E730</f>
        <v>21.87</v>
      </c>
      <c r="N730" t="str">
        <f>IF(I730="Rob","Robusta",IF(I730="Exc","Excelsa",IF(I730="Ara","Arabica",IF(I730="Lib","Liberica",""))))</f>
        <v>Excelsa</v>
      </c>
      <c r="O730" t="str">
        <f t="shared" si="11"/>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f>L731*E731</f>
        <v>4.3650000000000002</v>
      </c>
      <c r="N731" t="str">
        <f>IF(I731="Rob","Robusta",IF(I731="Exc","Excelsa",IF(I731="Ara","Arabica",IF(I731="Lib","Liberica",""))))</f>
        <v>Liberica</v>
      </c>
      <c r="O731" t="str">
        <f t="shared" si="11"/>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f>L732*E732</f>
        <v>36.454999999999998</v>
      </c>
      <c r="N732" t="str">
        <f>IF(I732="Rob","Robusta",IF(I732="Exc","Excelsa",IF(I732="Ara","Arabica",IF(I732="Lib","Liberica",""))))</f>
        <v>Liberica</v>
      </c>
      <c r="O732" t="str">
        <f t="shared" si="11"/>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f>L733*E733</f>
        <v>15.54</v>
      </c>
      <c r="N733" t="str">
        <f>IF(I733="Rob","Robusta",IF(I733="Exc","Excelsa",IF(I733="Ara","Arabica",IF(I733="Lib","Liberica",""))))</f>
        <v>Liberica</v>
      </c>
      <c r="O733" t="str">
        <f t="shared" si="11"/>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f>L734*E734</f>
        <v>8.91</v>
      </c>
      <c r="N734" t="str">
        <f>IF(I734="Rob","Robusta",IF(I734="Exc","Excelsa",IF(I734="Ara","Arabica",IF(I734="Lib","Liberica",""))))</f>
        <v>Excelsa</v>
      </c>
      <c r="O734" t="str">
        <f t="shared" si="11"/>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f>L735*E735</f>
        <v>100.39499999999998</v>
      </c>
      <c r="N735" t="str">
        <f>IF(I735="Rob","Robusta",IF(I735="Exc","Excelsa",IF(I735="Ara","Arabica",IF(I735="Lib","Liberica",""))))</f>
        <v>Liberica</v>
      </c>
      <c r="O735" t="str">
        <f t="shared" si="11"/>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f>L736*E736</f>
        <v>13.424999999999997</v>
      </c>
      <c r="N736" t="str">
        <f>IF(I736="Rob","Robusta",IF(I736="Exc","Excelsa",IF(I736="Ara","Arabica",IF(I736="Lib","Liberica",""))))</f>
        <v>Robusta</v>
      </c>
      <c r="O736" t="str">
        <f t="shared" si="11"/>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f>L737*E737</f>
        <v>21.87</v>
      </c>
      <c r="N737" t="str">
        <f>IF(I737="Rob","Robusta",IF(I737="Exc","Excelsa",IF(I737="Ara","Arabica",IF(I737="Lib","Liberica",""))))</f>
        <v>Excelsa</v>
      </c>
      <c r="O737" t="str">
        <f t="shared" si="11"/>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f>L738*E738</f>
        <v>25.9</v>
      </c>
      <c r="N738" t="str">
        <f>IF(I738="Rob","Robusta",IF(I738="Exc","Excelsa",IF(I738="Ara","Arabica",IF(I738="Lib","Liberica",""))))</f>
        <v>Liberica</v>
      </c>
      <c r="O738" t="str">
        <f t="shared" si="11"/>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f>L739*E739</f>
        <v>56.25</v>
      </c>
      <c r="N739" t="str">
        <f>IF(I739="Rob","Robusta",IF(I739="Exc","Excelsa",IF(I739="Ara","Arabica",IF(I739="Lib","Liberica",""))))</f>
        <v>Arabica</v>
      </c>
      <c r="O739" t="str">
        <f t="shared" si="11"/>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f>L740*E740</f>
        <v>10.754999999999999</v>
      </c>
      <c r="N740" t="str">
        <f>IF(I740="Rob","Robusta",IF(I740="Exc","Excelsa",IF(I740="Ara","Arabica",IF(I740="Lib","Liberica",""))))</f>
        <v>Robusta</v>
      </c>
      <c r="O740" t="str">
        <f t="shared" si="11"/>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f>L741*E741</f>
        <v>18.225000000000001</v>
      </c>
      <c r="N741" t="str">
        <f>IF(I741="Rob","Robusta",IF(I741="Exc","Excelsa",IF(I741="Ara","Arabica",IF(I741="Lib","Liberica",""))))</f>
        <v>Excelsa</v>
      </c>
      <c r="O741" t="str">
        <f t="shared" si="11"/>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f>L742*E742</f>
        <v>28.679999999999996</v>
      </c>
      <c r="N742" t="str">
        <f>IF(I742="Rob","Robusta",IF(I742="Exc","Excelsa",IF(I742="Ara","Arabica",IF(I742="Lib","Liberica",""))))</f>
        <v>Robusta</v>
      </c>
      <c r="O742" t="str">
        <f t="shared" si="11"/>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f>L743*E743</f>
        <v>8.73</v>
      </c>
      <c r="N743" t="str">
        <f>IF(I743="Rob","Robusta",IF(I743="Exc","Excelsa",IF(I743="Ara","Arabica",IF(I743="Lib","Liberica",""))))</f>
        <v>Liberica</v>
      </c>
      <c r="O743" t="str">
        <f t="shared" si="11"/>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f>L744*E744</f>
        <v>58.2</v>
      </c>
      <c r="N744" t="str">
        <f>IF(I744="Rob","Robusta",IF(I744="Exc","Excelsa",IF(I744="Ara","Arabica",IF(I744="Lib","Liberica",""))))</f>
        <v>Liberica</v>
      </c>
      <c r="O744" t="str">
        <f t="shared" si="11"/>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f>L745*E745</f>
        <v>17.91</v>
      </c>
      <c r="N745" t="str">
        <f>IF(I745="Rob","Robusta",IF(I745="Exc","Excelsa",IF(I745="Ara","Arabica",IF(I745="Lib","Liberica",""))))</f>
        <v>Arabica</v>
      </c>
      <c r="O745" t="str">
        <f t="shared" si="11"/>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f>L746*E746</f>
        <v>17.91</v>
      </c>
      <c r="N746" t="str">
        <f>IF(I746="Rob","Robusta",IF(I746="Exc","Excelsa",IF(I746="Ara","Arabica",IF(I746="Lib","Liberica",""))))</f>
        <v>Robusta</v>
      </c>
      <c r="O746" t="str">
        <f t="shared" si="11"/>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f>L747*E747</f>
        <v>14.58</v>
      </c>
      <c r="N747" t="str">
        <f>IF(I747="Rob","Robusta",IF(I747="Exc","Excelsa",IF(I747="Ara","Arabica",IF(I747="Lib","Liberica",""))))</f>
        <v>Excelsa</v>
      </c>
      <c r="O747" t="str">
        <f t="shared" si="11"/>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f>L748*E748</f>
        <v>33.75</v>
      </c>
      <c r="N748" t="str">
        <f>IF(I748="Rob","Robusta",IF(I748="Exc","Excelsa",IF(I748="Ara","Arabica",IF(I748="Lib","Liberica",""))))</f>
        <v>Arabica</v>
      </c>
      <c r="O748" t="str">
        <f t="shared" si="11"/>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f>L749*E749</f>
        <v>34.92</v>
      </c>
      <c r="N749" t="str">
        <f>IF(I749="Rob","Robusta",IF(I749="Exc","Excelsa",IF(I749="Ara","Arabica",IF(I749="Lib","Liberica",""))))</f>
        <v>Liberica</v>
      </c>
      <c r="O749" t="str">
        <f t="shared" si="11"/>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f>L750*E750</f>
        <v>14.58</v>
      </c>
      <c r="N750" t="str">
        <f>IF(I750="Rob","Robusta",IF(I750="Exc","Excelsa",IF(I750="Ara","Arabica",IF(I750="Lib","Liberica",""))))</f>
        <v>Excelsa</v>
      </c>
      <c r="O750" t="str">
        <f t="shared" si="11"/>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f>L751*E751</f>
        <v>5.3699999999999992</v>
      </c>
      <c r="N751" t="str">
        <f>IF(I751="Rob","Robusta",IF(I751="Exc","Excelsa",IF(I751="Ara","Arabica",IF(I751="Lib","Liberica",""))))</f>
        <v>Robusta</v>
      </c>
      <c r="O751" t="str">
        <f t="shared" si="11"/>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f>L752*E752</f>
        <v>5.97</v>
      </c>
      <c r="N752" t="str">
        <f>IF(I752="Rob","Robusta",IF(I752="Exc","Excelsa",IF(I752="Ara","Arabica",IF(I752="Lib","Liberica",""))))</f>
        <v>Robusta</v>
      </c>
      <c r="O752" t="str">
        <f t="shared" si="11"/>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f>L753*E753</f>
        <v>19.02</v>
      </c>
      <c r="N753" t="str">
        <f>IF(I753="Rob","Robusta",IF(I753="Exc","Excelsa",IF(I753="Ara","Arabica",IF(I753="Lib","Liberica",""))))</f>
        <v>Liberica</v>
      </c>
      <c r="O753" t="str">
        <f t="shared" si="11"/>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f>L754*E754</f>
        <v>27.5</v>
      </c>
      <c r="N754" t="str">
        <f>IF(I754="Rob","Robusta",IF(I754="Exc","Excelsa",IF(I754="Ara","Arabica",IF(I754="Lib","Liberica",""))))</f>
        <v>Excelsa</v>
      </c>
      <c r="O754" t="str">
        <f t="shared" si="11"/>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f>L755*E755</f>
        <v>29.849999999999998</v>
      </c>
      <c r="N755" t="str">
        <f>IF(I755="Rob","Robusta",IF(I755="Exc","Excelsa",IF(I755="Ara","Arabica",IF(I755="Lib","Liberica",""))))</f>
        <v>Arabica</v>
      </c>
      <c r="O755" t="str">
        <f t="shared" si="11"/>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f>L756*E756</f>
        <v>17.91</v>
      </c>
      <c r="N756" t="str">
        <f>IF(I756="Rob","Robusta",IF(I756="Exc","Excelsa",IF(I756="Ara","Arabica",IF(I756="Lib","Liberica",""))))</f>
        <v>Arabica</v>
      </c>
      <c r="O756" t="str">
        <f t="shared" si="11"/>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f>L757*E757</f>
        <v>28.53</v>
      </c>
      <c r="N757" t="str">
        <f>IF(I757="Rob","Robusta",IF(I757="Exc","Excelsa",IF(I757="Ara","Arabica",IF(I757="Lib","Liberica",""))))</f>
        <v>Liberica</v>
      </c>
      <c r="O757" t="str">
        <f t="shared" si="11"/>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f>L758*E758</f>
        <v>35.799999999999997</v>
      </c>
      <c r="N758" t="str">
        <f>IF(I758="Rob","Robusta",IF(I758="Exc","Excelsa",IF(I758="Ara","Arabica",IF(I758="Lib","Liberica",""))))</f>
        <v>Robusta</v>
      </c>
      <c r="O758" t="str">
        <f t="shared" si="11"/>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f>L759*E759</f>
        <v>17.91</v>
      </c>
      <c r="N759" t="str">
        <f>IF(I759="Rob","Robusta",IF(I759="Exc","Excelsa",IF(I759="Ara","Arabica",IF(I759="Lib","Liberica",""))))</f>
        <v>Arabica</v>
      </c>
      <c r="O759" t="str">
        <f t="shared" si="11"/>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f>L760*E760</f>
        <v>8.9499999999999993</v>
      </c>
      <c r="N760" t="str">
        <f>IF(I760="Rob","Robusta",IF(I760="Exc","Excelsa",IF(I760="Ara","Arabica",IF(I760="Lib","Liberica",""))))</f>
        <v>Robusta</v>
      </c>
      <c r="O760" t="str">
        <f t="shared" si="11"/>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f>L761*E761</f>
        <v>29.784999999999997</v>
      </c>
      <c r="N761" t="str">
        <f>IF(I761="Rob","Robusta",IF(I761="Exc","Excelsa",IF(I761="Ara","Arabica",IF(I761="Lib","Liberica",""))))</f>
        <v>Liberica</v>
      </c>
      <c r="O761" t="str">
        <f t="shared" si="11"/>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f>L762*E762</f>
        <v>44.55</v>
      </c>
      <c r="N762" t="str">
        <f>IF(I762="Rob","Robusta",IF(I762="Exc","Excelsa",IF(I762="Ara","Arabica",IF(I762="Lib","Liberica",""))))</f>
        <v>Excelsa</v>
      </c>
      <c r="O762" t="str">
        <f t="shared" si="11"/>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f>L763*E763</f>
        <v>89.1</v>
      </c>
      <c r="N763" t="str">
        <f>IF(I763="Rob","Robusta",IF(I763="Exc","Excelsa",IF(I763="Ara","Arabica",IF(I763="Lib","Liberica",""))))</f>
        <v>Excelsa</v>
      </c>
      <c r="O763" t="str">
        <f t="shared" si="11"/>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f>L764*E764</f>
        <v>43.650000000000006</v>
      </c>
      <c r="N764" t="str">
        <f>IF(I764="Rob","Robusta",IF(I764="Exc","Excelsa",IF(I764="Ara","Arabica",IF(I764="Lib","Liberica",""))))</f>
        <v>Liberica</v>
      </c>
      <c r="O764" t="str">
        <f t="shared" si="11"/>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f>L765*E765</f>
        <v>23.31</v>
      </c>
      <c r="N765" t="str">
        <f>IF(I765="Rob","Robusta",IF(I765="Exc","Excelsa",IF(I765="Ara","Arabica",IF(I765="Lib","Liberica",""))))</f>
        <v>Arabica</v>
      </c>
      <c r="O765" t="str">
        <f t="shared" si="11"/>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f>L766*E766</f>
        <v>178.70999999999998</v>
      </c>
      <c r="N766" t="str">
        <f>IF(I766="Rob","Robusta",IF(I766="Exc","Excelsa",IF(I766="Ara","Arabica",IF(I766="Lib","Liberica",""))))</f>
        <v>Arabica</v>
      </c>
      <c r="O766" t="str">
        <f t="shared" si="11"/>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f>L767*E767</f>
        <v>59.699999999999996</v>
      </c>
      <c r="N767" t="str">
        <f>IF(I767="Rob","Robusta",IF(I767="Exc","Excelsa",IF(I767="Ara","Arabica",IF(I767="Lib","Liberica",""))))</f>
        <v>Robusta</v>
      </c>
      <c r="O767" t="str">
        <f t="shared" si="11"/>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f>L768*E768</f>
        <v>15.54</v>
      </c>
      <c r="N768" t="str">
        <f>IF(I768="Rob","Robusta",IF(I768="Exc","Excelsa",IF(I768="Ara","Arabica",IF(I768="Lib","Liberica",""))))</f>
        <v>Arabica</v>
      </c>
      <c r="O768" t="str">
        <f t="shared" si="11"/>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f>L769*E769</f>
        <v>89.35499999999999</v>
      </c>
      <c r="N769" t="str">
        <f>IF(I769="Rob","Robusta",IF(I769="Exc","Excelsa",IF(I769="Ara","Arabica",IF(I769="Lib","Liberica",""))))</f>
        <v>Arabica</v>
      </c>
      <c r="O769" t="str">
        <f t="shared" si="11"/>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f>L770*E770</f>
        <v>23.9</v>
      </c>
      <c r="N770" t="str">
        <f>IF(I770="Rob","Robusta",IF(I770="Exc","Excelsa",IF(I770="Ara","Arabica",IF(I770="Lib","Liberica",""))))</f>
        <v>Robusta</v>
      </c>
      <c r="O770" t="str">
        <f t="shared" ref="O770:O833" si="12">IF(J770="M","Medium",IF(J770="L","Light",IF(J770="D","Dark","")))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f>L771*E771</f>
        <v>137.31</v>
      </c>
      <c r="N771" t="str">
        <f>IF(I771="Rob","Robusta",IF(I771="Exc","Excelsa",IF(I771="Ara","Arabica",IF(I771="Lib","Liberica",""))))</f>
        <v>Robusta</v>
      </c>
      <c r="O771" t="str">
        <f t="shared" si="12"/>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f>L772*E772</f>
        <v>9.9499999999999993</v>
      </c>
      <c r="N772" t="str">
        <f>IF(I772="Rob","Robusta",IF(I772="Exc","Excelsa",IF(I772="Ara","Arabica",IF(I772="Lib","Liberica",""))))</f>
        <v>Arabica</v>
      </c>
      <c r="O772" t="str">
        <f t="shared" si="12"/>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f>L773*E773</f>
        <v>21.509999999999998</v>
      </c>
      <c r="N773" t="str">
        <f>IF(I773="Rob","Robusta",IF(I773="Exc","Excelsa",IF(I773="Ara","Arabica",IF(I773="Lib","Liberica",""))))</f>
        <v>Robusta</v>
      </c>
      <c r="O773" t="str">
        <f t="shared" si="12"/>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f>L774*E774</f>
        <v>82.5</v>
      </c>
      <c r="N774" t="str">
        <f>IF(I774="Rob","Robusta",IF(I774="Exc","Excelsa",IF(I774="Ara","Arabica",IF(I774="Lib","Liberica",""))))</f>
        <v>Excelsa</v>
      </c>
      <c r="O774" t="str">
        <f t="shared" si="12"/>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f>L775*E775</f>
        <v>8.73</v>
      </c>
      <c r="N775" t="str">
        <f>IF(I775="Rob","Robusta",IF(I775="Exc","Excelsa",IF(I775="Ara","Arabica",IF(I775="Lib","Liberica",""))))</f>
        <v>Liberica</v>
      </c>
      <c r="O775" t="str">
        <f t="shared" si="12"/>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f>L776*E776</f>
        <v>19.899999999999999</v>
      </c>
      <c r="N776" t="str">
        <f>IF(I776="Rob","Robusta",IF(I776="Exc","Excelsa",IF(I776="Ara","Arabica",IF(I776="Lib","Liberica",""))))</f>
        <v>Robusta</v>
      </c>
      <c r="O776" t="str">
        <f t="shared" si="12"/>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f>L777*E777</f>
        <v>17.82</v>
      </c>
      <c r="N777" t="str">
        <f>IF(I777="Rob","Robusta",IF(I777="Exc","Excelsa",IF(I777="Ara","Arabica",IF(I777="Lib","Liberica",""))))</f>
        <v>Excelsa</v>
      </c>
      <c r="O777" t="str">
        <f t="shared" si="12"/>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f>L778*E778</f>
        <v>20.25</v>
      </c>
      <c r="N778" t="str">
        <f>IF(I778="Rob","Robusta",IF(I778="Exc","Excelsa",IF(I778="Ara","Arabica",IF(I778="Lib","Liberica",""))))</f>
        <v>Arabica</v>
      </c>
      <c r="O778" t="str">
        <f t="shared" si="12"/>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f>L779*E779</f>
        <v>59.569999999999993</v>
      </c>
      <c r="N779" t="str">
        <f>IF(I779="Rob","Robusta",IF(I779="Exc","Excelsa",IF(I779="Ara","Arabica",IF(I779="Lib","Liberica",""))))</f>
        <v>Arabica</v>
      </c>
      <c r="O779" t="str">
        <f t="shared" si="12"/>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f>L780*E780</f>
        <v>19.02</v>
      </c>
      <c r="N780" t="str">
        <f>IF(I780="Rob","Robusta",IF(I780="Exc","Excelsa",IF(I780="Ara","Arabica",IF(I780="Lib","Liberica",""))))</f>
        <v>Liberica</v>
      </c>
      <c r="O780" t="str">
        <f t="shared" si="12"/>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f>L781*E781</f>
        <v>77.699999999999989</v>
      </c>
      <c r="N781" t="str">
        <f>IF(I781="Rob","Robusta",IF(I781="Exc","Excelsa",IF(I781="Ara","Arabica",IF(I781="Lib","Liberica",""))))</f>
        <v>Liberica</v>
      </c>
      <c r="O781" t="str">
        <f t="shared" si="12"/>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f>L782*E782</f>
        <v>41.25</v>
      </c>
      <c r="N782" t="str">
        <f>IF(I782="Rob","Robusta",IF(I782="Exc","Excelsa",IF(I782="Ara","Arabica",IF(I782="Lib","Liberica",""))))</f>
        <v>Excelsa</v>
      </c>
      <c r="O782" t="str">
        <f t="shared" si="12"/>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f>L783*E783</f>
        <v>145.82</v>
      </c>
      <c r="N783" t="str">
        <f>IF(I783="Rob","Robusta",IF(I783="Exc","Excelsa",IF(I783="Ara","Arabica",IF(I783="Lib","Liberica",""))))</f>
        <v>Liberica</v>
      </c>
      <c r="O783" t="str">
        <f t="shared" si="12"/>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f>L784*E784</f>
        <v>26.73</v>
      </c>
      <c r="N784" t="str">
        <f>IF(I784="Rob","Robusta",IF(I784="Exc","Excelsa",IF(I784="Ara","Arabica",IF(I784="Lib","Liberica",""))))</f>
        <v>Excelsa</v>
      </c>
      <c r="O784" t="str">
        <f t="shared" si="12"/>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f>L785*E785</f>
        <v>43.650000000000006</v>
      </c>
      <c r="N785" t="str">
        <f>IF(I785="Rob","Robusta",IF(I785="Exc","Excelsa",IF(I785="Ara","Arabica",IF(I785="Lib","Liberica",""))))</f>
        <v>Liberica</v>
      </c>
      <c r="O785" t="str">
        <f t="shared" si="12"/>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f>L786*E786</f>
        <v>31.7</v>
      </c>
      <c r="N786" t="str">
        <f>IF(I786="Rob","Robusta",IF(I786="Exc","Excelsa",IF(I786="Ara","Arabica",IF(I786="Lib","Liberica",""))))</f>
        <v>Liberica</v>
      </c>
      <c r="O786" t="str">
        <f t="shared" si="12"/>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f>L787*E787</f>
        <v>22.884999999999998</v>
      </c>
      <c r="N787" t="str">
        <f>IF(I787="Rob","Robusta",IF(I787="Exc","Excelsa",IF(I787="Ara","Arabica",IF(I787="Lib","Liberica",""))))</f>
        <v>Arabica</v>
      </c>
      <c r="O787" t="str">
        <f t="shared" si="12"/>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f>L788*E788</f>
        <v>27.945</v>
      </c>
      <c r="N788" t="str">
        <f>IF(I788="Rob","Robusta",IF(I788="Exc","Excelsa",IF(I788="Ara","Arabica",IF(I788="Lib","Liberica",""))))</f>
        <v>Excelsa</v>
      </c>
      <c r="O788" t="str">
        <f t="shared" si="12"/>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f>L789*E789</f>
        <v>82.5</v>
      </c>
      <c r="N789" t="str">
        <f>IF(I789="Rob","Robusta",IF(I789="Exc","Excelsa",IF(I789="Ara","Arabica",IF(I789="Lib","Liberica",""))))</f>
        <v>Excelsa</v>
      </c>
      <c r="O789" t="str">
        <f t="shared" si="12"/>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f>L790*E790</f>
        <v>45.769999999999996</v>
      </c>
      <c r="N790" t="str">
        <f>IF(I790="Rob","Robusta",IF(I790="Exc","Excelsa",IF(I790="Ara","Arabica",IF(I790="Lib","Liberica",""))))</f>
        <v>Robusta</v>
      </c>
      <c r="O790" t="str">
        <f t="shared" si="12"/>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f>L791*E791</f>
        <v>77.699999999999989</v>
      </c>
      <c r="N791" t="str">
        <f>IF(I791="Rob","Robusta",IF(I791="Exc","Excelsa",IF(I791="Ara","Arabica",IF(I791="Lib","Liberica",""))))</f>
        <v>Arabica</v>
      </c>
      <c r="O791" t="str">
        <f t="shared" si="12"/>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f>L792*E792</f>
        <v>23.31</v>
      </c>
      <c r="N792" t="str">
        <f>IF(I792="Rob","Robusta",IF(I792="Exc","Excelsa",IF(I792="Ara","Arabica",IF(I792="Lib","Liberica",""))))</f>
        <v>Arabica</v>
      </c>
      <c r="O792" t="str">
        <f t="shared" si="12"/>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f>L793*E793</f>
        <v>23.774999999999999</v>
      </c>
      <c r="N793" t="str">
        <f>IF(I793="Rob","Robusta",IF(I793="Exc","Excelsa",IF(I793="Ara","Arabica",IF(I793="Lib","Liberica",""))))</f>
        <v>Liberica</v>
      </c>
      <c r="O793" t="str">
        <f t="shared" si="12"/>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f>L794*E794</f>
        <v>52.38</v>
      </c>
      <c r="N794" t="str">
        <f>IF(I794="Rob","Robusta",IF(I794="Exc","Excelsa",IF(I794="Ara","Arabica",IF(I794="Lib","Liberica",""))))</f>
        <v>Liberica</v>
      </c>
      <c r="O794" t="str">
        <f t="shared" si="12"/>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f>L795*E795</f>
        <v>17.924999999999997</v>
      </c>
      <c r="N795" t="str">
        <f>IF(I795="Rob","Robusta",IF(I795="Exc","Excelsa",IF(I795="Ara","Arabica",IF(I795="Lib","Liberica",""))))</f>
        <v>Robusta</v>
      </c>
      <c r="O795" t="str">
        <f t="shared" si="12"/>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f>L796*E796</f>
        <v>148.92499999999998</v>
      </c>
      <c r="N796" t="str">
        <f>IF(I796="Rob","Robusta",IF(I796="Exc","Excelsa",IF(I796="Ara","Arabica",IF(I796="Lib","Liberica",""))))</f>
        <v>Arabica</v>
      </c>
      <c r="O796" t="str">
        <f t="shared" si="12"/>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f>L797*E797</f>
        <v>28.679999999999996</v>
      </c>
      <c r="N797" t="str">
        <f>IF(I797="Rob","Robusta",IF(I797="Exc","Excelsa",IF(I797="Ara","Arabica",IF(I797="Lib","Liberica",""))))</f>
        <v>Robusta</v>
      </c>
      <c r="O797" t="str">
        <f t="shared" si="12"/>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f>L798*E798</f>
        <v>9.51</v>
      </c>
      <c r="N798" t="str">
        <f>IF(I798="Rob","Robusta",IF(I798="Exc","Excelsa",IF(I798="Ara","Arabica",IF(I798="Lib","Liberica",""))))</f>
        <v>Liberica</v>
      </c>
      <c r="O798" t="str">
        <f t="shared" si="12"/>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f>L799*E799</f>
        <v>31.08</v>
      </c>
      <c r="N799" t="str">
        <f>IF(I799="Rob","Robusta",IF(I799="Exc","Excelsa",IF(I799="Ara","Arabica",IF(I799="Lib","Liberica",""))))</f>
        <v>Arabica</v>
      </c>
      <c r="O799" t="str">
        <f t="shared" si="12"/>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f>L800*E800</f>
        <v>8.0549999999999997</v>
      </c>
      <c r="N800" t="str">
        <f>IF(I800="Rob","Robusta",IF(I800="Exc","Excelsa",IF(I800="Ara","Arabica",IF(I800="Lib","Liberica",""))))</f>
        <v>Robusta</v>
      </c>
      <c r="O800" t="str">
        <f t="shared" si="12"/>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f>L801*E801</f>
        <v>36.450000000000003</v>
      </c>
      <c r="N801" t="str">
        <f>IF(I801="Rob","Robusta",IF(I801="Exc","Excelsa",IF(I801="Ara","Arabica",IF(I801="Lib","Liberica",""))))</f>
        <v>Excelsa</v>
      </c>
      <c r="O801" t="str">
        <f t="shared" si="12"/>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f>L802*E802</f>
        <v>16.11</v>
      </c>
      <c r="N802" t="str">
        <f>IF(I802="Rob","Robusta",IF(I802="Exc","Excelsa",IF(I802="Ara","Arabica",IF(I802="Lib","Liberica",""))))</f>
        <v>Robusta</v>
      </c>
      <c r="O802" t="str">
        <f t="shared" si="12"/>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f>L803*E803</f>
        <v>41.169999999999995</v>
      </c>
      <c r="N803" t="str">
        <f>IF(I803="Rob","Robusta",IF(I803="Exc","Excelsa",IF(I803="Ara","Arabica",IF(I803="Lib","Liberica",""))))</f>
        <v>Robusta</v>
      </c>
      <c r="O803" t="str">
        <f t="shared" si="12"/>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f>L804*E804</f>
        <v>10.739999999999998</v>
      </c>
      <c r="N804" t="str">
        <f>IF(I804="Rob","Robusta",IF(I804="Exc","Excelsa",IF(I804="Ara","Arabica",IF(I804="Lib","Liberica",""))))</f>
        <v>Robusta</v>
      </c>
      <c r="O804" t="str">
        <f t="shared" si="12"/>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f>L805*E805</f>
        <v>126.49999999999999</v>
      </c>
      <c r="N805" t="str">
        <f>IF(I805="Rob","Robusta",IF(I805="Exc","Excelsa",IF(I805="Ara","Arabica",IF(I805="Lib","Liberica",""))))</f>
        <v>Excelsa</v>
      </c>
      <c r="O805" t="str">
        <f t="shared" si="12"/>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f>L806*E806</f>
        <v>23.9</v>
      </c>
      <c r="N806" t="str">
        <f>IF(I806="Rob","Robusta",IF(I806="Exc","Excelsa",IF(I806="Ara","Arabica",IF(I806="Lib","Liberica",""))))</f>
        <v>Robusta</v>
      </c>
      <c r="O806" t="str">
        <f t="shared" si="12"/>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f>L807*E807</f>
        <v>5.97</v>
      </c>
      <c r="N807" t="str">
        <f>IF(I807="Rob","Robusta",IF(I807="Exc","Excelsa",IF(I807="Ara","Arabica",IF(I807="Lib","Liberica",""))))</f>
        <v>Robusta</v>
      </c>
      <c r="O807" t="str">
        <f t="shared" si="12"/>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f>L808*E808</f>
        <v>7.77</v>
      </c>
      <c r="N808" t="str">
        <f>IF(I808="Rob","Robusta",IF(I808="Exc","Excelsa",IF(I808="Ara","Arabica",IF(I808="Lib","Liberica",""))))</f>
        <v>Liberica</v>
      </c>
      <c r="O808" t="str">
        <f t="shared" si="12"/>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f>L809*E809</f>
        <v>23.31</v>
      </c>
      <c r="N809" t="str">
        <f>IF(I809="Rob","Robusta",IF(I809="Exc","Excelsa",IF(I809="Ara","Arabica",IF(I809="Lib","Liberica",""))))</f>
        <v>Liberica</v>
      </c>
      <c r="O809" t="str">
        <f t="shared" si="12"/>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f>L810*E810</f>
        <v>137.42499999999998</v>
      </c>
      <c r="N810" t="str">
        <f>IF(I810="Rob","Robusta",IF(I810="Exc","Excelsa",IF(I810="Ara","Arabica",IF(I810="Lib","Liberica",""))))</f>
        <v>Robusta</v>
      </c>
      <c r="O810" t="str">
        <f t="shared" si="12"/>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f>L811*E811</f>
        <v>8.0549999999999997</v>
      </c>
      <c r="N811" t="str">
        <f>IF(I811="Rob","Robusta",IF(I811="Exc","Excelsa",IF(I811="Ara","Arabica",IF(I811="Lib","Liberica",""))))</f>
        <v>Robusta</v>
      </c>
      <c r="O811" t="str">
        <f t="shared" si="12"/>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f>L812*E812</f>
        <v>28.53</v>
      </c>
      <c r="N812" t="str">
        <f>IF(I812="Rob","Robusta",IF(I812="Exc","Excelsa",IF(I812="Ara","Arabica",IF(I812="Lib","Liberica",""))))</f>
        <v>Liberica</v>
      </c>
      <c r="O812" t="str">
        <f t="shared" si="12"/>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f>L813*E813</f>
        <v>67.5</v>
      </c>
      <c r="N813" t="str">
        <f>IF(I813="Rob","Robusta",IF(I813="Exc","Excelsa",IF(I813="Ara","Arabica",IF(I813="Lib","Liberica",""))))</f>
        <v>Arabica</v>
      </c>
      <c r="O813" t="str">
        <f t="shared" si="12"/>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f>L814*E814</f>
        <v>178.70999999999998</v>
      </c>
      <c r="N814" t="str">
        <f>IF(I814="Rob","Robusta",IF(I814="Exc","Excelsa",IF(I814="Ara","Arabica",IF(I814="Lib","Liberica",""))))</f>
        <v>Liberica</v>
      </c>
      <c r="O814" t="str">
        <f t="shared" si="12"/>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f>L815*E815</f>
        <v>31.624999999999996</v>
      </c>
      <c r="N815" t="str">
        <f>IF(I815="Rob","Robusta",IF(I815="Exc","Excelsa",IF(I815="Ara","Arabica",IF(I815="Lib","Liberica",""))))</f>
        <v>Excelsa</v>
      </c>
      <c r="O815" t="str">
        <f t="shared" si="12"/>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f>L816*E816</f>
        <v>8.91</v>
      </c>
      <c r="N816" t="str">
        <f>IF(I816="Rob","Robusta",IF(I816="Exc","Excelsa",IF(I816="Ara","Arabica",IF(I816="Lib","Liberica",""))))</f>
        <v>Excelsa</v>
      </c>
      <c r="O816" t="str">
        <f t="shared" si="12"/>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f>L817*E817</f>
        <v>35.82</v>
      </c>
      <c r="N817" t="str">
        <f>IF(I817="Rob","Robusta",IF(I817="Exc","Excelsa",IF(I817="Ara","Arabica",IF(I817="Lib","Liberica",""))))</f>
        <v>Robusta</v>
      </c>
      <c r="O817" t="str">
        <f t="shared" si="12"/>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f>L818*E818</f>
        <v>38.04</v>
      </c>
      <c r="N818" t="str">
        <f>IF(I818="Rob","Robusta",IF(I818="Exc","Excelsa",IF(I818="Ara","Arabica",IF(I818="Lib","Liberica",""))))</f>
        <v>Liberica</v>
      </c>
      <c r="O818" t="str">
        <f t="shared" si="12"/>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f>L819*E819</f>
        <v>15.54</v>
      </c>
      <c r="N819" t="str">
        <f>IF(I819="Rob","Robusta",IF(I819="Exc","Excelsa",IF(I819="Ara","Arabica",IF(I819="Lib","Liberica",""))))</f>
        <v>Liberica</v>
      </c>
      <c r="O819" t="str">
        <f t="shared" si="12"/>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f>L820*E820</f>
        <v>79.25</v>
      </c>
      <c r="N820" t="str">
        <f>IF(I820="Rob","Robusta",IF(I820="Exc","Excelsa",IF(I820="Ara","Arabica",IF(I820="Lib","Liberica",""))))</f>
        <v>Liberica</v>
      </c>
      <c r="O820" t="str">
        <f t="shared" si="12"/>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f>L821*E821</f>
        <v>4.7549999999999999</v>
      </c>
      <c r="N821" t="str">
        <f>IF(I821="Rob","Robusta",IF(I821="Exc","Excelsa",IF(I821="Ara","Arabica",IF(I821="Lib","Liberica",""))))</f>
        <v>Liberica</v>
      </c>
      <c r="O821" t="str">
        <f t="shared" si="12"/>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f>L822*E822</f>
        <v>55</v>
      </c>
      <c r="N822" t="str">
        <f>IF(I822="Rob","Robusta",IF(I822="Exc","Excelsa",IF(I822="Ara","Arabica",IF(I822="Lib","Liberica",""))))</f>
        <v>Excelsa</v>
      </c>
      <c r="O822" t="str">
        <f t="shared" si="12"/>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f>L823*E823</f>
        <v>26.849999999999994</v>
      </c>
      <c r="N823" t="str">
        <f>IF(I823="Rob","Robusta",IF(I823="Exc","Excelsa",IF(I823="Ara","Arabica",IF(I823="Lib","Liberica",""))))</f>
        <v>Robusta</v>
      </c>
      <c r="O823" t="str">
        <f t="shared" si="12"/>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f>L824*E824</f>
        <v>136.61999999999998</v>
      </c>
      <c r="N824" t="str">
        <f>IF(I824="Rob","Robusta",IF(I824="Exc","Excelsa",IF(I824="Ara","Arabica",IF(I824="Lib","Liberica",""))))</f>
        <v>Excelsa</v>
      </c>
      <c r="O824" t="str">
        <f t="shared" si="12"/>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f>L825*E825</f>
        <v>47.55</v>
      </c>
      <c r="N825" t="str">
        <f>IF(I825="Rob","Robusta",IF(I825="Exc","Excelsa",IF(I825="Ara","Arabica",IF(I825="Lib","Liberica",""))))</f>
        <v>Liberica</v>
      </c>
      <c r="O825" t="str">
        <f t="shared" si="12"/>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f>L826*E826</f>
        <v>16.875</v>
      </c>
      <c r="N826" t="str">
        <f>IF(I826="Rob","Robusta",IF(I826="Exc","Excelsa",IF(I826="Ara","Arabica",IF(I826="Lib","Liberica",""))))</f>
        <v>Arabica</v>
      </c>
      <c r="O826" t="str">
        <f t="shared" si="12"/>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f>L827*E827</f>
        <v>29.849999999999998</v>
      </c>
      <c r="N827" t="str">
        <f>IF(I827="Rob","Robusta",IF(I827="Exc","Excelsa",IF(I827="Ara","Arabica",IF(I827="Lib","Liberica",""))))</f>
        <v>Arabica</v>
      </c>
      <c r="O827" t="str">
        <f t="shared" si="12"/>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f>L828*E828</f>
        <v>41.25</v>
      </c>
      <c r="N828" t="str">
        <f>IF(I828="Rob","Robusta",IF(I828="Exc","Excelsa",IF(I828="Ara","Arabica",IF(I828="Lib","Liberica",""))))</f>
        <v>Excelsa</v>
      </c>
      <c r="O828" t="str">
        <f t="shared" si="12"/>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f>L829*E829</f>
        <v>20.625</v>
      </c>
      <c r="N829" t="str">
        <f>IF(I829="Rob","Robusta",IF(I829="Exc","Excelsa",IF(I829="Ara","Arabica",IF(I829="Lib","Liberica",""))))</f>
        <v>Excelsa</v>
      </c>
      <c r="O829" t="str">
        <f t="shared" si="12"/>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f>L830*E830</f>
        <v>137.31</v>
      </c>
      <c r="N830" t="str">
        <f>IF(I830="Rob","Robusta",IF(I830="Exc","Excelsa",IF(I830="Ara","Arabica",IF(I830="Lib","Liberica",""))))</f>
        <v>Arabica</v>
      </c>
      <c r="O830" t="str">
        <f t="shared" si="12"/>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f>L831*E831</f>
        <v>2.9849999999999999</v>
      </c>
      <c r="N831" t="str">
        <f>IF(I831="Rob","Robusta",IF(I831="Exc","Excelsa",IF(I831="Ara","Arabica",IF(I831="Lib","Liberica",""))))</f>
        <v>Arabica</v>
      </c>
      <c r="O831" t="str">
        <f t="shared" si="12"/>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f>L832*E832</f>
        <v>27.5</v>
      </c>
      <c r="N832" t="str">
        <f>IF(I832="Rob","Robusta",IF(I832="Exc","Excelsa",IF(I832="Ara","Arabica",IF(I832="Lib","Liberica",""))))</f>
        <v>Excelsa</v>
      </c>
      <c r="O832" t="str">
        <f t="shared" si="12"/>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f>L833*E833</f>
        <v>5.97</v>
      </c>
      <c r="N833" t="str">
        <f>IF(I833="Rob","Robusta",IF(I833="Exc","Excelsa",IF(I833="Ara","Arabica",IF(I833="Lib","Liberica",""))))</f>
        <v>Arabica</v>
      </c>
      <c r="O833" t="str">
        <f t="shared" si="12"/>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f>L834*E834</f>
        <v>59.699999999999996</v>
      </c>
      <c r="N834" t="str">
        <f>IF(I834="Rob","Robusta",IF(I834="Exc","Excelsa",IF(I834="Ara","Arabica",IF(I834="Lib","Liberica",""))))</f>
        <v>Robusta</v>
      </c>
      <c r="O834" t="str">
        <f t="shared" ref="O834:O897" si="13">IF(J834="M","Medium",IF(J834="L","Light",IF(J834="D","Dark","")))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f>L835*E835</f>
        <v>82.339999999999989</v>
      </c>
      <c r="N835" t="str">
        <f>IF(I835="Rob","Robusta",IF(I835="Exc","Excelsa",IF(I835="Ara","Arabica",IF(I835="Lib","Liberica",""))))</f>
        <v>Robusta</v>
      </c>
      <c r="O835" t="str">
        <f t="shared" si="13"/>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f>L836*E836</f>
        <v>22.884999999999998</v>
      </c>
      <c r="N836" t="str">
        <f>IF(I836="Rob","Robusta",IF(I836="Exc","Excelsa",IF(I836="Ara","Arabica",IF(I836="Lib","Liberica",""))))</f>
        <v>Arabica</v>
      </c>
      <c r="O836" t="str">
        <f t="shared" si="13"/>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f>L837*E837</f>
        <v>8.91</v>
      </c>
      <c r="N837" t="str">
        <f>IF(I837="Rob","Robusta",IF(I837="Exc","Excelsa",IF(I837="Ara","Arabica",IF(I837="Lib","Liberica",""))))</f>
        <v>Excelsa</v>
      </c>
      <c r="O837" t="str">
        <f t="shared" si="13"/>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f>L838*E838</f>
        <v>11.94</v>
      </c>
      <c r="N838" t="str">
        <f>IF(I838="Rob","Robusta",IF(I838="Exc","Excelsa",IF(I838="Ara","Arabica",IF(I838="Lib","Liberica",""))))</f>
        <v>Arabica</v>
      </c>
      <c r="O838" t="str">
        <f t="shared" si="13"/>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f>L839*E839</f>
        <v>100.39499999999998</v>
      </c>
      <c r="N839" t="str">
        <f>IF(I839="Rob","Robusta",IF(I839="Exc","Excelsa",IF(I839="Ara","Arabica",IF(I839="Lib","Liberica",""))))</f>
        <v>Liberica</v>
      </c>
      <c r="O839" t="str">
        <f t="shared" si="13"/>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f>L840*E840</f>
        <v>114.42499999999998</v>
      </c>
      <c r="N840" t="str">
        <f>IF(I840="Rob","Robusta",IF(I840="Exc","Excelsa",IF(I840="Ara","Arabica",IF(I840="Lib","Liberica",""))))</f>
        <v>Arabica</v>
      </c>
      <c r="O840" t="str">
        <f t="shared" si="13"/>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f>L841*E841</f>
        <v>41.25</v>
      </c>
      <c r="N841" t="str">
        <f>IF(I841="Rob","Robusta",IF(I841="Exc","Excelsa",IF(I841="Ara","Arabica",IF(I841="Lib","Liberica",""))))</f>
        <v>Excelsa</v>
      </c>
      <c r="O841" t="str">
        <f t="shared" si="13"/>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f>L842*E842</f>
        <v>28.679999999999996</v>
      </c>
      <c r="N842" t="str">
        <f>IF(I842="Rob","Robusta",IF(I842="Exc","Excelsa",IF(I842="Ara","Arabica",IF(I842="Lib","Liberica",""))))</f>
        <v>Robusta</v>
      </c>
      <c r="O842" t="str">
        <f t="shared" si="13"/>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f>L843*E843</f>
        <v>4.3650000000000002</v>
      </c>
      <c r="N843" t="str">
        <f>IF(I843="Rob","Robusta",IF(I843="Exc","Excelsa",IF(I843="Ara","Arabica",IF(I843="Lib","Liberica",""))))</f>
        <v>Liberica</v>
      </c>
      <c r="O843" t="str">
        <f t="shared" si="13"/>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f>L844*E844</f>
        <v>8.25</v>
      </c>
      <c r="N844" t="str">
        <f>IF(I844="Rob","Robusta",IF(I844="Exc","Excelsa",IF(I844="Ara","Arabica",IF(I844="Lib","Liberica",""))))</f>
        <v>Excelsa</v>
      </c>
      <c r="O844" t="str">
        <f t="shared" si="13"/>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f>L845*E845</f>
        <v>8.25</v>
      </c>
      <c r="N845" t="str">
        <f>IF(I845="Rob","Robusta",IF(I845="Exc","Excelsa",IF(I845="Ara","Arabica",IF(I845="Lib","Liberica",""))))</f>
        <v>Excelsa</v>
      </c>
      <c r="O845" t="str">
        <f t="shared" si="13"/>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f>L846*E846</f>
        <v>35.82</v>
      </c>
      <c r="N846" t="str">
        <f>IF(I846="Rob","Robusta",IF(I846="Exc","Excelsa",IF(I846="Ara","Arabica",IF(I846="Lib","Liberica",""))))</f>
        <v>Arabica</v>
      </c>
      <c r="O846" t="str">
        <f t="shared" si="13"/>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f>L847*E847</f>
        <v>167.67000000000002</v>
      </c>
      <c r="N847" t="str">
        <f>IF(I847="Rob","Robusta",IF(I847="Exc","Excelsa",IF(I847="Ara","Arabica",IF(I847="Lib","Liberica",""))))</f>
        <v>Excelsa</v>
      </c>
      <c r="O847" t="str">
        <f t="shared" si="13"/>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f>L848*E848</f>
        <v>51.749999999999993</v>
      </c>
      <c r="N848" t="str">
        <f>IF(I848="Rob","Robusta",IF(I848="Exc","Excelsa",IF(I848="Ara","Arabica",IF(I848="Lib","Liberica",""))))</f>
        <v>Arabica</v>
      </c>
      <c r="O848" t="str">
        <f t="shared" si="13"/>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f>L849*E849</f>
        <v>8.9550000000000001</v>
      </c>
      <c r="N849" t="str">
        <f>IF(I849="Rob","Robusta",IF(I849="Exc","Excelsa",IF(I849="Ara","Arabica",IF(I849="Lib","Liberica",""))))</f>
        <v>Arabica</v>
      </c>
      <c r="O849" t="str">
        <f t="shared" si="13"/>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f>L850*E850</f>
        <v>53.46</v>
      </c>
      <c r="N850" t="str">
        <f>IF(I850="Rob","Robusta",IF(I850="Exc","Excelsa",IF(I850="Ara","Arabica",IF(I850="Lib","Liberica",""))))</f>
        <v>Excelsa</v>
      </c>
      <c r="O850" t="str">
        <f t="shared" si="13"/>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f>L851*E851</f>
        <v>23.31</v>
      </c>
      <c r="N851" t="str">
        <f>IF(I851="Rob","Robusta",IF(I851="Exc","Excelsa",IF(I851="Ara","Arabica",IF(I851="Lib","Liberica",""))))</f>
        <v>Arabica</v>
      </c>
      <c r="O851" t="str">
        <f t="shared" si="13"/>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f>L852*E852</f>
        <v>6.75</v>
      </c>
      <c r="N852" t="str">
        <f>IF(I852="Rob","Robusta",IF(I852="Exc","Excelsa",IF(I852="Ara","Arabica",IF(I852="Lib","Liberica",""))))</f>
        <v>Arabica</v>
      </c>
      <c r="O852" t="str">
        <f t="shared" si="13"/>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f>L853*E853</f>
        <v>7.77</v>
      </c>
      <c r="N853" t="str">
        <f>IF(I853="Rob","Robusta",IF(I853="Exc","Excelsa",IF(I853="Ara","Arabica",IF(I853="Lib","Liberica",""))))</f>
        <v>Liberica</v>
      </c>
      <c r="O853" t="str">
        <f t="shared" si="13"/>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f>L854*E854</f>
        <v>119.13999999999999</v>
      </c>
      <c r="N854" t="str">
        <f>IF(I854="Rob","Robusta",IF(I854="Exc","Excelsa",IF(I854="Ara","Arabica",IF(I854="Lib","Liberica",""))))</f>
        <v>Liberica</v>
      </c>
      <c r="O854" t="str">
        <f t="shared" si="13"/>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f>L855*E855</f>
        <v>19.899999999999999</v>
      </c>
      <c r="N855" t="str">
        <f>IF(I855="Rob","Robusta",IF(I855="Exc","Excelsa",IF(I855="Ara","Arabica",IF(I855="Lib","Liberica",""))))</f>
        <v>Arabica</v>
      </c>
      <c r="O855" t="str">
        <f t="shared" si="13"/>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f>L856*E856</f>
        <v>35.849999999999994</v>
      </c>
      <c r="N856" t="str">
        <f>IF(I856="Rob","Robusta",IF(I856="Exc","Excelsa",IF(I856="Ara","Arabica",IF(I856="Lib","Liberica",""))))</f>
        <v>Robusta</v>
      </c>
      <c r="O856" t="str">
        <f t="shared" si="13"/>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f>L857*E857</f>
        <v>89.35499999999999</v>
      </c>
      <c r="N857" t="str">
        <f>IF(I857="Rob","Robusta",IF(I857="Exc","Excelsa",IF(I857="Ara","Arabica",IF(I857="Lib","Liberica",""))))</f>
        <v>Liberica</v>
      </c>
      <c r="O857" t="str">
        <f t="shared" si="13"/>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f>L858*E858</f>
        <v>8.73</v>
      </c>
      <c r="N858" t="str">
        <f>IF(I858="Rob","Robusta",IF(I858="Exc","Excelsa",IF(I858="Ara","Arabica",IF(I858="Lib","Liberica",""))))</f>
        <v>Liberica</v>
      </c>
      <c r="O858" t="str">
        <f t="shared" si="13"/>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f>L859*E859</f>
        <v>137.42499999999998</v>
      </c>
      <c r="N859" t="str">
        <f>IF(I859="Rob","Robusta",IF(I859="Exc","Excelsa",IF(I859="Ara","Arabica",IF(I859="Lib","Liberica",""))))</f>
        <v>Robusta</v>
      </c>
      <c r="O859" t="str">
        <f t="shared" si="13"/>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f>L860*E860</f>
        <v>34.92</v>
      </c>
      <c r="N860" t="str">
        <f>IF(I860="Rob","Robusta",IF(I860="Exc","Excelsa",IF(I860="Ara","Arabica",IF(I860="Lib","Liberica",""))))</f>
        <v>Liberica</v>
      </c>
      <c r="O860" t="str">
        <f t="shared" si="13"/>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f>L861*E861</f>
        <v>178.70999999999998</v>
      </c>
      <c r="N861" t="str">
        <f>IF(I861="Rob","Robusta",IF(I861="Exc","Excelsa",IF(I861="Ara","Arabica",IF(I861="Lib","Liberica",""))))</f>
        <v>Arabica</v>
      </c>
      <c r="O861" t="str">
        <f t="shared" si="13"/>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f>L862*E862</f>
        <v>25.874999999999996</v>
      </c>
      <c r="N862" t="str">
        <f>IF(I862="Rob","Robusta",IF(I862="Exc","Excelsa",IF(I862="Ara","Arabica",IF(I862="Lib","Liberica",""))))</f>
        <v>Arabica</v>
      </c>
      <c r="O862" t="str">
        <f t="shared" si="13"/>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f>L863*E863</f>
        <v>77.699999999999989</v>
      </c>
      <c r="N863" t="str">
        <f>IF(I863="Rob","Robusta",IF(I863="Exc","Excelsa",IF(I863="Ara","Arabica",IF(I863="Lib","Liberica",""))))</f>
        <v>Liberica</v>
      </c>
      <c r="O863" t="str">
        <f t="shared" si="13"/>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f>L864*E864</f>
        <v>9.9499999999999993</v>
      </c>
      <c r="N864" t="str">
        <f>IF(I864="Rob","Robusta",IF(I864="Exc","Excelsa",IF(I864="Ara","Arabica",IF(I864="Lib","Liberica",""))))</f>
        <v>Robusta</v>
      </c>
      <c r="O864" t="str">
        <f t="shared" si="13"/>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f>L865*E865</f>
        <v>29.1</v>
      </c>
      <c r="N865" t="str">
        <f>IF(I865="Rob","Robusta",IF(I865="Exc","Excelsa",IF(I865="Ara","Arabica",IF(I865="Lib","Liberica",""))))</f>
        <v>Liberica</v>
      </c>
      <c r="O865" t="str">
        <f t="shared" si="13"/>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f>L866*E866</f>
        <v>21.509999999999998</v>
      </c>
      <c r="N866" t="str">
        <f>IF(I866="Rob","Robusta",IF(I866="Exc","Excelsa",IF(I866="Ara","Arabica",IF(I866="Lib","Liberica",""))))</f>
        <v>Robusta</v>
      </c>
      <c r="O866" t="str">
        <f t="shared" si="13"/>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f>L867*E867</f>
        <v>6.75</v>
      </c>
      <c r="N867" t="str">
        <f>IF(I867="Rob","Robusta",IF(I867="Exc","Excelsa",IF(I867="Ara","Arabica",IF(I867="Lib","Liberica",""))))</f>
        <v>Arabica</v>
      </c>
      <c r="O867" t="str">
        <f t="shared" si="13"/>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f>L868*E868</f>
        <v>17.91</v>
      </c>
      <c r="N868" t="str">
        <f>IF(I868="Rob","Robusta",IF(I868="Exc","Excelsa",IF(I868="Ara","Arabica",IF(I868="Lib","Liberica",""))))</f>
        <v>Arabica</v>
      </c>
      <c r="O868" t="str">
        <f t="shared" si="13"/>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f>L869*E869</f>
        <v>29.784999999999997</v>
      </c>
      <c r="N869" t="str">
        <f>IF(I869="Rob","Robusta",IF(I869="Exc","Excelsa",IF(I869="Ara","Arabica",IF(I869="Lib","Liberica",""))))</f>
        <v>Arabica</v>
      </c>
      <c r="O869" t="str">
        <f t="shared" si="13"/>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f>L870*E870</f>
        <v>41.25</v>
      </c>
      <c r="N870" t="str">
        <f>IF(I870="Rob","Robusta",IF(I870="Exc","Excelsa",IF(I870="Ara","Arabica",IF(I870="Lib","Liberica",""))))</f>
        <v>Excelsa</v>
      </c>
      <c r="O870" t="str">
        <f t="shared" si="13"/>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f>L871*E871</f>
        <v>17.91</v>
      </c>
      <c r="N871" t="str">
        <f>IF(I871="Rob","Robusta",IF(I871="Exc","Excelsa",IF(I871="Ara","Arabica",IF(I871="Lib","Liberica",""))))</f>
        <v>Robusta</v>
      </c>
      <c r="O871" t="str">
        <f t="shared" si="13"/>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f>L872*E872</f>
        <v>7.29</v>
      </c>
      <c r="N872" t="str">
        <f>IF(I872="Rob","Robusta",IF(I872="Exc","Excelsa",IF(I872="Ara","Arabica",IF(I872="Lib","Liberica",""))))</f>
        <v>Excelsa</v>
      </c>
      <c r="O872" t="str">
        <f t="shared" si="13"/>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f>L873*E873</f>
        <v>29.7</v>
      </c>
      <c r="N873" t="str">
        <f>IF(I873="Rob","Robusta",IF(I873="Exc","Excelsa",IF(I873="Ara","Arabica",IF(I873="Lib","Liberica",""))))</f>
        <v>Excelsa</v>
      </c>
      <c r="O873" t="str">
        <f t="shared" si="13"/>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f>L874*E874</f>
        <v>22.5</v>
      </c>
      <c r="N874" t="str">
        <f>IF(I874="Rob","Robusta",IF(I874="Exc","Excelsa",IF(I874="Ara","Arabica",IF(I874="Lib","Liberica",""))))</f>
        <v>Arabica</v>
      </c>
      <c r="O874" t="str">
        <f t="shared" si="13"/>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f>L875*E875</f>
        <v>11.94</v>
      </c>
      <c r="N875" t="str">
        <f>IF(I875="Rob","Robusta",IF(I875="Exc","Excelsa",IF(I875="Ara","Arabica",IF(I875="Lib","Liberica",""))))</f>
        <v>Robusta</v>
      </c>
      <c r="O875" t="str">
        <f t="shared" si="13"/>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f>L876*E876</f>
        <v>25.9</v>
      </c>
      <c r="N876" t="str">
        <f>IF(I876="Rob","Robusta",IF(I876="Exc","Excelsa",IF(I876="Ara","Arabica",IF(I876="Lib","Liberica",""))))</f>
        <v>Arabica</v>
      </c>
      <c r="O876" t="str">
        <f t="shared" si="13"/>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f>L877*E877</f>
        <v>43.650000000000006</v>
      </c>
      <c r="N877" t="str">
        <f>IF(I877="Rob","Robusta",IF(I877="Exc","Excelsa",IF(I877="Ara","Arabica",IF(I877="Lib","Liberica",""))))</f>
        <v>Liberica</v>
      </c>
      <c r="O877" t="str">
        <f t="shared" si="13"/>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f>L878*E878</f>
        <v>46.62</v>
      </c>
      <c r="N878" t="str">
        <f>IF(I878="Rob","Robusta",IF(I878="Exc","Excelsa",IF(I878="Ara","Arabica",IF(I878="Lib","Liberica",""))))</f>
        <v>Arabica</v>
      </c>
      <c r="O878" t="str">
        <f t="shared" si="13"/>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f>L879*E879</f>
        <v>28.53</v>
      </c>
      <c r="N879" t="str">
        <f>IF(I879="Rob","Robusta",IF(I879="Exc","Excelsa",IF(I879="Ara","Arabica",IF(I879="Lib","Liberica",""))))</f>
        <v>Liberica</v>
      </c>
      <c r="O879" t="str">
        <f t="shared" si="13"/>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f>L880*E880</f>
        <v>27.484999999999996</v>
      </c>
      <c r="N880" t="str">
        <f>IF(I880="Rob","Robusta",IF(I880="Exc","Excelsa",IF(I880="Ara","Arabica",IF(I880="Lib","Liberica",""))))</f>
        <v>Robusta</v>
      </c>
      <c r="O880" t="str">
        <f t="shared" si="13"/>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f>L881*E881</f>
        <v>10.935</v>
      </c>
      <c r="N881" t="str">
        <f>IF(I881="Rob","Robusta",IF(I881="Exc","Excelsa",IF(I881="Ara","Arabica",IF(I881="Lib","Liberica",""))))</f>
        <v>Excelsa</v>
      </c>
      <c r="O881" t="str">
        <f t="shared" si="13"/>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f>L882*E882</f>
        <v>7.169999999999999</v>
      </c>
      <c r="N882" t="str">
        <f>IF(I882="Rob","Robusta",IF(I882="Exc","Excelsa",IF(I882="Ara","Arabica",IF(I882="Lib","Liberica",""))))</f>
        <v>Robusta</v>
      </c>
      <c r="O882" t="str">
        <f t="shared" si="13"/>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f>L883*E883</f>
        <v>23.31</v>
      </c>
      <c r="N883" t="str">
        <f>IF(I883="Rob","Robusta",IF(I883="Exc","Excelsa",IF(I883="Ara","Arabica",IF(I883="Lib","Liberica",""))))</f>
        <v>Arabica</v>
      </c>
      <c r="O883" t="str">
        <f t="shared" si="13"/>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f>L884*E884</f>
        <v>114.42499999999998</v>
      </c>
      <c r="N884" t="str">
        <f>IF(I884="Rob","Robusta",IF(I884="Exc","Excelsa",IF(I884="Ara","Arabica",IF(I884="Lib","Liberica",""))))</f>
        <v>Arabica</v>
      </c>
      <c r="O884" t="str">
        <f t="shared" si="13"/>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f>L885*E885</f>
        <v>77.624999999999986</v>
      </c>
      <c r="N885" t="str">
        <f>IF(I885="Rob","Robusta",IF(I885="Exc","Excelsa",IF(I885="Ara","Arabica",IF(I885="Lib","Liberica",""))))</f>
        <v>Arabica</v>
      </c>
      <c r="O885" t="str">
        <f t="shared" si="13"/>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f>L886*E886</f>
        <v>5.3699999999999992</v>
      </c>
      <c r="N886" t="str">
        <f>IF(I886="Rob","Robusta",IF(I886="Exc","Excelsa",IF(I886="Ara","Arabica",IF(I886="Lib","Liberica",""))))</f>
        <v>Robusta</v>
      </c>
      <c r="O886" t="str">
        <f t="shared" si="13"/>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f>L887*E887</f>
        <v>123.50999999999999</v>
      </c>
      <c r="N887" t="str">
        <f>IF(I887="Rob","Robusta",IF(I887="Exc","Excelsa",IF(I887="Ara","Arabica",IF(I887="Lib","Liberica",""))))</f>
        <v>Robusta</v>
      </c>
      <c r="O887" t="str">
        <f t="shared" si="13"/>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f>L888*E888</f>
        <v>17.46</v>
      </c>
      <c r="N888" t="str">
        <f>IF(I888="Rob","Robusta",IF(I888="Exc","Excelsa",IF(I888="Ara","Arabica",IF(I888="Lib","Liberica",""))))</f>
        <v>Liberica</v>
      </c>
      <c r="O888" t="str">
        <f t="shared" si="13"/>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f>L889*E889</f>
        <v>13.365</v>
      </c>
      <c r="N889" t="str">
        <f>IF(I889="Rob","Robusta",IF(I889="Exc","Excelsa",IF(I889="Ara","Arabica",IF(I889="Lib","Liberica",""))))</f>
        <v>Excelsa</v>
      </c>
      <c r="O889" t="str">
        <f t="shared" si="13"/>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f>L890*E890</f>
        <v>7.77</v>
      </c>
      <c r="N890" t="str">
        <f>IF(I890="Rob","Robusta",IF(I890="Exc","Excelsa",IF(I890="Ara","Arabica",IF(I890="Lib","Liberica",""))))</f>
        <v>Arabica</v>
      </c>
      <c r="O890" t="str">
        <f t="shared" si="13"/>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f>L891*E891</f>
        <v>2.6849999999999996</v>
      </c>
      <c r="N891" t="str">
        <f>IF(I891="Rob","Robusta",IF(I891="Exc","Excelsa",IF(I891="Ara","Arabica",IF(I891="Lib","Liberica",""))))</f>
        <v>Robusta</v>
      </c>
      <c r="O891" t="str">
        <f t="shared" si="13"/>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f>L892*E892</f>
        <v>20.584999999999997</v>
      </c>
      <c r="N892" t="str">
        <f>IF(I892="Rob","Robusta",IF(I892="Exc","Excelsa",IF(I892="Ara","Arabica",IF(I892="Lib","Liberica",""))))</f>
        <v>Robusta</v>
      </c>
      <c r="O892" t="str">
        <f t="shared" si="13"/>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f>L893*E893</f>
        <v>114.42499999999998</v>
      </c>
      <c r="N893" t="str">
        <f>IF(I893="Rob","Robusta",IF(I893="Exc","Excelsa",IF(I893="Ara","Arabica",IF(I893="Lib","Liberica",""))))</f>
        <v>Arabica</v>
      </c>
      <c r="O893" t="str">
        <f t="shared" si="13"/>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f>L894*E894</f>
        <v>20.625</v>
      </c>
      <c r="N894" t="str">
        <f>IF(I894="Rob","Robusta",IF(I894="Exc","Excelsa",IF(I894="Ara","Arabica",IF(I894="Lib","Liberica",""))))</f>
        <v>Excelsa</v>
      </c>
      <c r="O894" t="str">
        <f t="shared" si="13"/>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f>L895*E895</f>
        <v>57.06</v>
      </c>
      <c r="N895" t="str">
        <f>IF(I895="Rob","Robusta",IF(I895="Exc","Excelsa",IF(I895="Ara","Arabica",IF(I895="Lib","Liberica",""))))</f>
        <v>Liberica</v>
      </c>
      <c r="O895" t="str">
        <f t="shared" si="13"/>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f>L896*E896</f>
        <v>82.339999999999989</v>
      </c>
      <c r="N896" t="str">
        <f>IF(I896="Rob","Robusta",IF(I896="Exc","Excelsa",IF(I896="Ara","Arabica",IF(I896="Lib","Liberica",""))))</f>
        <v>Robusta</v>
      </c>
      <c r="O896" t="str">
        <f t="shared" si="13"/>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f>L897*E897</f>
        <v>158.12499999999997</v>
      </c>
      <c r="N897" t="str">
        <f>IF(I897="Rob","Robusta",IF(I897="Exc","Excelsa",IF(I897="Ara","Arabica",IF(I897="Lib","Liberica",""))))</f>
        <v>Excelsa</v>
      </c>
      <c r="O897" t="str">
        <f t="shared" si="13"/>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f>L898*E898</f>
        <v>32.22</v>
      </c>
      <c r="N898" t="str">
        <f>IF(I898="Rob","Robusta",IF(I898="Exc","Excelsa",IF(I898="Ara","Arabica",IF(I898="Lib","Liberica",""))))</f>
        <v>Robusta</v>
      </c>
      <c r="O898" t="str">
        <f t="shared" ref="O898:O961" si="14">IF(J898="M","Medium",IF(J898="L","Light",IF(J898="D","Dark","")))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f>L899*E899</f>
        <v>24.3</v>
      </c>
      <c r="N899" t="str">
        <f>IF(I899="Rob","Robusta",IF(I899="Exc","Excelsa",IF(I899="Ara","Arabica",IF(I899="Lib","Liberica",""))))</f>
        <v>Excelsa</v>
      </c>
      <c r="O899" t="str">
        <f t="shared" si="14"/>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f>L900*E900</f>
        <v>35.849999999999994</v>
      </c>
      <c r="N900" t="str">
        <f>IF(I900="Rob","Robusta",IF(I900="Exc","Excelsa",IF(I900="Ara","Arabica",IF(I900="Lib","Liberica",""))))</f>
        <v>Robusta</v>
      </c>
      <c r="O900" t="str">
        <f t="shared" si="1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f>L901*E901</f>
        <v>72.75</v>
      </c>
      <c r="N901" t="str">
        <f>IF(I901="Rob","Robusta",IF(I901="Exc","Excelsa",IF(I901="Ara","Arabica",IF(I901="Lib","Liberica",""))))</f>
        <v>Liberica</v>
      </c>
      <c r="O901" t="str">
        <f t="shared" si="1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f>L902*E902</f>
        <v>47.55</v>
      </c>
      <c r="N902" t="str">
        <f>IF(I902="Rob","Robusta",IF(I902="Exc","Excelsa",IF(I902="Ara","Arabica",IF(I902="Lib","Liberica",""))))</f>
        <v>Liberica</v>
      </c>
      <c r="O902" t="str">
        <f t="shared" si="1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f>L903*E903</f>
        <v>3.5849999999999995</v>
      </c>
      <c r="N903" t="str">
        <f>IF(I903="Rob","Robusta",IF(I903="Exc","Excelsa",IF(I903="Ara","Arabica",IF(I903="Lib","Liberica",""))))</f>
        <v>Robusta</v>
      </c>
      <c r="O903" t="str">
        <f t="shared" si="1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f>L904*E904</f>
        <v>158.12499999999997</v>
      </c>
      <c r="N904" t="str">
        <f>IF(I904="Rob","Robusta",IF(I904="Exc","Excelsa",IF(I904="Ara","Arabica",IF(I904="Lib","Liberica",""))))</f>
        <v>Excelsa</v>
      </c>
      <c r="O904" t="str">
        <f t="shared" si="1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f>L905*E905</f>
        <v>17.46</v>
      </c>
      <c r="N905" t="str">
        <f>IF(I905="Rob","Robusta",IF(I905="Exc","Excelsa",IF(I905="Ara","Arabica",IF(I905="Lib","Liberica",""))))</f>
        <v>Liberica</v>
      </c>
      <c r="O905" t="str">
        <f t="shared" si="1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f>L906*E906</f>
        <v>148.92499999999998</v>
      </c>
      <c r="N906" t="str">
        <f>IF(I906="Rob","Robusta",IF(I906="Exc","Excelsa",IF(I906="Ara","Arabica",IF(I906="Lib","Liberica",""))))</f>
        <v>Arabica</v>
      </c>
      <c r="O906" t="str">
        <f t="shared" si="1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f>L907*E907</f>
        <v>40.5</v>
      </c>
      <c r="N907" t="str">
        <f>IF(I907="Rob","Robusta",IF(I907="Exc","Excelsa",IF(I907="Ara","Arabica",IF(I907="Lib","Liberica",""))))</f>
        <v>Arabica</v>
      </c>
      <c r="O907" t="str">
        <f t="shared" si="1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f>L908*E908</f>
        <v>27</v>
      </c>
      <c r="N908" t="str">
        <f>IF(I908="Rob","Robusta",IF(I908="Exc","Excelsa",IF(I908="Ara","Arabica",IF(I908="Lib","Liberica",""))))</f>
        <v>Arabica</v>
      </c>
      <c r="O908" t="str">
        <f t="shared" si="1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f>L909*E909</f>
        <v>38.849999999999994</v>
      </c>
      <c r="N909" t="str">
        <f>IF(I909="Rob","Robusta",IF(I909="Exc","Excelsa",IF(I909="Ara","Arabica",IF(I909="Lib","Liberica",""))))</f>
        <v>Liberica</v>
      </c>
      <c r="O909" t="str">
        <f t="shared" si="1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f>L910*E910</f>
        <v>59.75</v>
      </c>
      <c r="N910" t="str">
        <f>IF(I910="Rob","Robusta",IF(I910="Exc","Excelsa",IF(I910="Ara","Arabica",IF(I910="Lib","Liberica",""))))</f>
        <v>Robusta</v>
      </c>
      <c r="O910" t="str">
        <f t="shared" si="1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f>L911*E911</f>
        <v>10.754999999999999</v>
      </c>
      <c r="N911" t="str">
        <f>IF(I911="Rob","Robusta",IF(I911="Exc","Excelsa",IF(I911="Ara","Arabica",IF(I911="Lib","Liberica",""))))</f>
        <v>Robusta</v>
      </c>
      <c r="O911" t="str">
        <f t="shared" si="1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f>L912*E912</f>
        <v>91.539999999999992</v>
      </c>
      <c r="N912" t="str">
        <f>IF(I912="Rob","Robusta",IF(I912="Exc","Excelsa",IF(I912="Ara","Arabica",IF(I912="Lib","Liberica",""))))</f>
        <v>Arabica</v>
      </c>
      <c r="O912" t="str">
        <f t="shared" si="1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f>L913*E913</f>
        <v>45</v>
      </c>
      <c r="N913" t="str">
        <f>IF(I913="Rob","Robusta",IF(I913="Exc","Excelsa",IF(I913="Ara","Arabica",IF(I913="Lib","Liberica",""))))</f>
        <v>Arabica</v>
      </c>
      <c r="O913" t="str">
        <f t="shared" si="1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f>L914*E914</f>
        <v>137.31</v>
      </c>
      <c r="N914" t="str">
        <f>IF(I914="Rob","Robusta",IF(I914="Exc","Excelsa",IF(I914="Ara","Arabica",IF(I914="Lib","Liberica",""))))</f>
        <v>Robusta</v>
      </c>
      <c r="O914" t="str">
        <f t="shared" si="1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f>L915*E915</f>
        <v>6.75</v>
      </c>
      <c r="N915" t="str">
        <f>IF(I915="Rob","Robusta",IF(I915="Exc","Excelsa",IF(I915="Ara","Arabica",IF(I915="Lib","Liberica",""))))</f>
        <v>Arabica</v>
      </c>
      <c r="O915" t="str">
        <f t="shared" si="1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f>L916*E916</f>
        <v>45</v>
      </c>
      <c r="N916" t="str">
        <f>IF(I916="Rob","Robusta",IF(I916="Exc","Excelsa",IF(I916="Ara","Arabica",IF(I916="Lib","Liberica",""))))</f>
        <v>Arabica</v>
      </c>
      <c r="O916" t="str">
        <f t="shared" si="1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f>L917*E917</f>
        <v>83.835000000000008</v>
      </c>
      <c r="N917" t="str">
        <f>IF(I917="Rob","Robusta",IF(I917="Exc","Excelsa",IF(I917="Ara","Arabica",IF(I917="Lib","Liberica",""))))</f>
        <v>Excelsa</v>
      </c>
      <c r="O917" t="str">
        <f t="shared" si="1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f>L918*E918</f>
        <v>3.645</v>
      </c>
      <c r="N918" t="str">
        <f>IF(I918="Rob","Robusta",IF(I918="Exc","Excelsa",IF(I918="Ara","Arabica",IF(I918="Lib","Liberica",""))))</f>
        <v>Excelsa</v>
      </c>
      <c r="O918" t="str">
        <f t="shared" si="1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f>L919*E919</f>
        <v>6.75</v>
      </c>
      <c r="N919" t="str">
        <f>IF(I919="Rob","Robusta",IF(I919="Exc","Excelsa",IF(I919="Ara","Arabica",IF(I919="Lib","Liberica",""))))</f>
        <v>Arabica</v>
      </c>
      <c r="O919" t="str">
        <f t="shared" si="1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f>L920*E920</f>
        <v>21.87</v>
      </c>
      <c r="N920" t="str">
        <f>IF(I920="Rob","Robusta",IF(I920="Exc","Excelsa",IF(I920="Ara","Arabica",IF(I920="Lib","Liberica",""))))</f>
        <v>Excelsa</v>
      </c>
      <c r="O920" t="str">
        <f t="shared" si="1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f>L921*E921</f>
        <v>13.424999999999997</v>
      </c>
      <c r="N921" t="str">
        <f>IF(I921="Rob","Robusta",IF(I921="Exc","Excelsa",IF(I921="Ara","Arabica",IF(I921="Lib","Liberica",""))))</f>
        <v>Robusta</v>
      </c>
      <c r="O921" t="str">
        <f t="shared" si="1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f>L922*E922</f>
        <v>123.50999999999999</v>
      </c>
      <c r="N922" t="str">
        <f>IF(I922="Rob","Robusta",IF(I922="Exc","Excelsa",IF(I922="Ara","Arabica",IF(I922="Lib","Liberica",""))))</f>
        <v>Robusta</v>
      </c>
      <c r="O922" t="str">
        <f t="shared" si="1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f>L923*E923</f>
        <v>7.77</v>
      </c>
      <c r="N923" t="str">
        <f>IF(I923="Rob","Robusta",IF(I923="Exc","Excelsa",IF(I923="Ara","Arabica",IF(I923="Lib","Liberica",""))))</f>
        <v>Liberica</v>
      </c>
      <c r="O923" t="str">
        <f t="shared" si="1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f>L924*E924</f>
        <v>67.5</v>
      </c>
      <c r="N924" t="str">
        <f>IF(I924="Rob","Robusta",IF(I924="Exc","Excelsa",IF(I924="Ara","Arabica",IF(I924="Lib","Liberica",""))))</f>
        <v>Arabica</v>
      </c>
      <c r="O924" t="str">
        <f t="shared" si="1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f>L925*E925</f>
        <v>27.945</v>
      </c>
      <c r="N925" t="str">
        <f>IF(I925="Rob","Robusta",IF(I925="Exc","Excelsa",IF(I925="Ara","Arabica",IF(I925="Lib","Liberica",""))))</f>
        <v>Excelsa</v>
      </c>
      <c r="O925" t="str">
        <f t="shared" si="1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f>L926*E926</f>
        <v>89.35499999999999</v>
      </c>
      <c r="N926" t="str">
        <f>IF(I926="Rob","Robusta",IF(I926="Exc","Excelsa",IF(I926="Ara","Arabica",IF(I926="Lib","Liberica",""))))</f>
        <v>Arabica</v>
      </c>
      <c r="O926" t="str">
        <f t="shared" si="1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f>L927*E927</f>
        <v>20.25</v>
      </c>
      <c r="N927" t="str">
        <f>IF(I927="Rob","Robusta",IF(I927="Exc","Excelsa",IF(I927="Ara","Arabica",IF(I927="Lib","Liberica",""))))</f>
        <v>Arabica</v>
      </c>
      <c r="O927" t="str">
        <f t="shared" si="1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f>L928*E928</f>
        <v>33.75</v>
      </c>
      <c r="N928" t="str">
        <f>IF(I928="Rob","Robusta",IF(I928="Exc","Excelsa",IF(I928="Ara","Arabica",IF(I928="Lib","Liberica",""))))</f>
        <v>Arabica</v>
      </c>
      <c r="O928" t="str">
        <f t="shared" si="1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f>L929*E929</f>
        <v>111.78</v>
      </c>
      <c r="N929" t="str">
        <f>IF(I929="Rob","Robusta",IF(I929="Exc","Excelsa",IF(I929="Ara","Arabica",IF(I929="Lib","Liberica",""))))</f>
        <v>Excelsa</v>
      </c>
      <c r="O929" t="str">
        <f t="shared" si="1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f>L930*E930</f>
        <v>63.249999999999993</v>
      </c>
      <c r="N930" t="str">
        <f>IF(I930="Rob","Robusta",IF(I930="Exc","Excelsa",IF(I930="Ara","Arabica",IF(I930="Lib","Liberica",""))))</f>
        <v>Excelsa</v>
      </c>
      <c r="O930" t="str">
        <f t="shared" si="1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f>L931*E931</f>
        <v>8.91</v>
      </c>
      <c r="N931" t="str">
        <f>IF(I931="Rob","Robusta",IF(I931="Exc","Excelsa",IF(I931="Ara","Arabica",IF(I931="Lib","Liberica",""))))</f>
        <v>Excelsa</v>
      </c>
      <c r="O931" t="str">
        <f t="shared" si="1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f>L932*E932</f>
        <v>12.15</v>
      </c>
      <c r="N932" t="str">
        <f>IF(I932="Rob","Robusta",IF(I932="Exc","Excelsa",IF(I932="Ara","Arabica",IF(I932="Lib","Liberica",""))))</f>
        <v>Excelsa</v>
      </c>
      <c r="O932" t="str">
        <f t="shared" si="1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f>L933*E933</f>
        <v>23.88</v>
      </c>
      <c r="N933" t="str">
        <f>IF(I933="Rob","Robusta",IF(I933="Exc","Excelsa",IF(I933="Ara","Arabica",IF(I933="Lib","Liberica",""))))</f>
        <v>Arabica</v>
      </c>
      <c r="O933" t="str">
        <f t="shared" si="1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f>L934*E934</f>
        <v>55</v>
      </c>
      <c r="N934" t="str">
        <f>IF(I934="Rob","Robusta",IF(I934="Exc","Excelsa",IF(I934="Ara","Arabica",IF(I934="Lib","Liberica",""))))</f>
        <v>Excelsa</v>
      </c>
      <c r="O934" t="str">
        <f t="shared" si="1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f>L935*E935</f>
        <v>26.849999999999998</v>
      </c>
      <c r="N935" t="str">
        <f>IF(I935="Rob","Robusta",IF(I935="Exc","Excelsa",IF(I935="Ara","Arabica",IF(I935="Lib","Liberica",""))))</f>
        <v>Robusta</v>
      </c>
      <c r="O935" t="str">
        <f t="shared" si="1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f>L936*E936</f>
        <v>114.42499999999998</v>
      </c>
      <c r="N936" t="str">
        <f>IF(I936="Rob","Robusta",IF(I936="Exc","Excelsa",IF(I936="Ara","Arabica",IF(I936="Lib","Liberica",""))))</f>
        <v>Robusta</v>
      </c>
      <c r="O936" t="str">
        <f t="shared" si="1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f>L937*E937</f>
        <v>155.24999999999997</v>
      </c>
      <c r="N937" t="str">
        <f>IF(I937="Rob","Robusta",IF(I937="Exc","Excelsa",IF(I937="Ara","Arabica",IF(I937="Lib","Liberica",""))))</f>
        <v>Arabica</v>
      </c>
      <c r="O937" t="str">
        <f t="shared" si="1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f>L938*E938</f>
        <v>23.31</v>
      </c>
      <c r="N938" t="str">
        <f>IF(I938="Rob","Robusta",IF(I938="Exc","Excelsa",IF(I938="Ara","Arabica",IF(I938="Lib","Liberica",""))))</f>
        <v>Liberica</v>
      </c>
      <c r="O938" t="str">
        <f t="shared" si="1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f>L939*E939</f>
        <v>91.539999999999992</v>
      </c>
      <c r="N939" t="str">
        <f>IF(I939="Rob","Robusta",IF(I939="Exc","Excelsa",IF(I939="Ara","Arabica",IF(I939="Lib","Liberica",""))))</f>
        <v>Robusta</v>
      </c>
      <c r="O939" t="str">
        <f t="shared" si="1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f>L940*E940</f>
        <v>74.25</v>
      </c>
      <c r="N940" t="str">
        <f>IF(I940="Rob","Robusta",IF(I940="Exc","Excelsa",IF(I940="Ara","Arabica",IF(I940="Lib","Liberica",""))))</f>
        <v>Excelsa</v>
      </c>
      <c r="O940" t="str">
        <f t="shared" si="1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f>L941*E941</f>
        <v>28.53</v>
      </c>
      <c r="N941" t="str">
        <f>IF(I941="Rob","Robusta",IF(I941="Exc","Excelsa",IF(I941="Ara","Arabica",IF(I941="Lib","Liberica",""))))</f>
        <v>Liberica</v>
      </c>
      <c r="O941" t="str">
        <f t="shared" si="1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f>L942*E942</f>
        <v>14.339999999999998</v>
      </c>
      <c r="N942" t="str">
        <f>IF(I942="Rob","Robusta",IF(I942="Exc","Excelsa",IF(I942="Ara","Arabica",IF(I942="Lib","Liberica",""))))</f>
        <v>Robusta</v>
      </c>
      <c r="O942" t="str">
        <f t="shared" si="1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f>L943*E943</f>
        <v>15.54</v>
      </c>
      <c r="N943" t="str">
        <f>IF(I943="Rob","Robusta",IF(I943="Exc","Excelsa",IF(I943="Ara","Arabica",IF(I943="Lib","Liberica",""))))</f>
        <v>Arabica</v>
      </c>
      <c r="O943" t="str">
        <f t="shared" si="1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f>L944*E944</f>
        <v>35.849999999999994</v>
      </c>
      <c r="N944" t="str">
        <f>IF(I944="Rob","Robusta",IF(I944="Exc","Excelsa",IF(I944="Ara","Arabica",IF(I944="Lib","Liberica",""))))</f>
        <v>Robusta</v>
      </c>
      <c r="O944" t="str">
        <f t="shared" si="1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f>L945*E945</f>
        <v>46.62</v>
      </c>
      <c r="N945" t="str">
        <f>IF(I945="Rob","Robusta",IF(I945="Exc","Excelsa",IF(I945="Ara","Arabica",IF(I945="Lib","Liberica",""))))</f>
        <v>Arabica</v>
      </c>
      <c r="O945" t="str">
        <f t="shared" si="1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f>L946*E946</f>
        <v>35.849999999999994</v>
      </c>
      <c r="N946" t="str">
        <f>IF(I946="Rob","Robusta",IF(I946="Exc","Excelsa",IF(I946="Ara","Arabica",IF(I946="Lib","Liberica",""))))</f>
        <v>Robusta</v>
      </c>
      <c r="O946" t="str">
        <f t="shared" si="1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f>L947*E947</f>
        <v>119.13999999999999</v>
      </c>
      <c r="N947" t="str">
        <f>IF(I947="Rob","Robusta",IF(I947="Exc","Excelsa",IF(I947="Ara","Arabica",IF(I947="Lib","Liberica",""))))</f>
        <v>Liberica</v>
      </c>
      <c r="O947" t="str">
        <f t="shared" si="1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f>L948*E948</f>
        <v>23.31</v>
      </c>
      <c r="N948" t="str">
        <f>IF(I948="Rob","Robusta",IF(I948="Exc","Excelsa",IF(I948="Ara","Arabica",IF(I948="Lib","Liberica",""))))</f>
        <v>Liberica</v>
      </c>
      <c r="O948" t="str">
        <f t="shared" si="1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f>L949*E949</f>
        <v>11.25</v>
      </c>
      <c r="N949" t="str">
        <f>IF(I949="Rob","Robusta",IF(I949="Exc","Excelsa",IF(I949="Ara","Arabica",IF(I949="Lib","Liberica",""))))</f>
        <v>Arabica</v>
      </c>
      <c r="O949" t="str">
        <f t="shared" si="1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f>L950*E950</f>
        <v>83.835000000000008</v>
      </c>
      <c r="N950" t="str">
        <f>IF(I950="Rob","Robusta",IF(I950="Exc","Excelsa",IF(I950="Ara","Arabica",IF(I950="Lib","Liberica",""))))</f>
        <v>Excelsa</v>
      </c>
      <c r="O950" t="str">
        <f t="shared" si="1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f>L951*E951</f>
        <v>109.93999999999998</v>
      </c>
      <c r="N951" t="str">
        <f>IF(I951="Rob","Robusta",IF(I951="Exc","Excelsa",IF(I951="Ara","Arabica",IF(I951="Lib","Liberica",""))))</f>
        <v>Robusta</v>
      </c>
      <c r="O951" t="str">
        <f t="shared" si="1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f>L952*E952</f>
        <v>14.339999999999998</v>
      </c>
      <c r="N952" t="str">
        <f>IF(I952="Rob","Robusta",IF(I952="Exc","Excelsa",IF(I952="Ara","Arabica",IF(I952="Lib","Liberica",""))))</f>
        <v>Robusta</v>
      </c>
      <c r="O952" t="str">
        <f t="shared" si="1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f>L953*E953</f>
        <v>21.509999999999998</v>
      </c>
      <c r="N953" t="str">
        <f>IF(I953="Rob","Robusta",IF(I953="Exc","Excelsa",IF(I953="Ara","Arabica",IF(I953="Lib","Liberica",""))))</f>
        <v>Robusta</v>
      </c>
      <c r="O953" t="str">
        <f t="shared" si="1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f>L954*E954</f>
        <v>22.5</v>
      </c>
      <c r="N954" t="str">
        <f>IF(I954="Rob","Robusta",IF(I954="Exc","Excelsa",IF(I954="Ara","Arabica",IF(I954="Lib","Liberica",""))))</f>
        <v>Arabica</v>
      </c>
      <c r="O954" t="str">
        <f t="shared" si="1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f>L955*E955</f>
        <v>3.8849999999999998</v>
      </c>
      <c r="N955" t="str">
        <f>IF(I955="Rob","Robusta",IF(I955="Exc","Excelsa",IF(I955="Ara","Arabica",IF(I955="Lib","Liberica",""))))</f>
        <v>Arabica</v>
      </c>
      <c r="O955" t="str">
        <f t="shared" si="1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f>L956*E956</f>
        <v>27.945</v>
      </c>
      <c r="N956" t="str">
        <f>IF(I956="Rob","Robusta",IF(I956="Exc","Excelsa",IF(I956="Ara","Arabica",IF(I956="Lib","Liberica",""))))</f>
        <v>Excelsa</v>
      </c>
      <c r="O956" t="str">
        <f t="shared" si="1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f>L957*E957</f>
        <v>170.77499999999998</v>
      </c>
      <c r="N957" t="str">
        <f>IF(I957="Rob","Robusta",IF(I957="Exc","Excelsa",IF(I957="Ara","Arabica",IF(I957="Lib","Liberica",""))))</f>
        <v>Excelsa</v>
      </c>
      <c r="O957" t="str">
        <f t="shared" si="1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f>L958*E958</f>
        <v>54.969999999999992</v>
      </c>
      <c r="N958" t="str">
        <f>IF(I958="Rob","Robusta",IF(I958="Exc","Excelsa",IF(I958="Ara","Arabica",IF(I958="Lib","Liberica",""))))</f>
        <v>Robusta</v>
      </c>
      <c r="O958" t="str">
        <f t="shared" si="1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f>L959*E959</f>
        <v>14.85</v>
      </c>
      <c r="N959" t="str">
        <f>IF(I959="Rob","Robusta",IF(I959="Exc","Excelsa",IF(I959="Ara","Arabica",IF(I959="Lib","Liberica",""))))</f>
        <v>Excelsa</v>
      </c>
      <c r="O959" t="str">
        <f t="shared" si="1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f>L960*E960</f>
        <v>7.77</v>
      </c>
      <c r="N960" t="str">
        <f>IF(I960="Rob","Robusta",IF(I960="Exc","Excelsa",IF(I960="Ara","Arabica",IF(I960="Lib","Liberica",""))))</f>
        <v>Arabica</v>
      </c>
      <c r="O960" t="str">
        <f t="shared" si="1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f>L961*E961</f>
        <v>23.774999999999999</v>
      </c>
      <c r="N961" t="str">
        <f>IF(I961="Rob","Robusta",IF(I961="Exc","Excelsa",IF(I961="Ara","Arabica",IF(I961="Lib","Liberica",""))))</f>
        <v>Liberica</v>
      </c>
      <c r="O961" t="str">
        <f t="shared" si="1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f>L962*E962</f>
        <v>79.25</v>
      </c>
      <c r="N962" t="str">
        <f>IF(I962="Rob","Robusta",IF(I962="Exc","Excelsa",IF(I962="Ara","Arabica",IF(I962="Lib","Liberica",""))))</f>
        <v>Liberica</v>
      </c>
      <c r="O962" t="str">
        <f t="shared" ref="O962:O1001" si="15">IF(J962="M","Medium",IF(J962="L","Light",IF(J962="D","Dark","")))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f>L963*E963</f>
        <v>45.769999999999996</v>
      </c>
      <c r="N963" t="str">
        <f>IF(I963="Rob","Robusta",IF(I963="Exc","Excelsa",IF(I963="Ara","Arabica",IF(I963="Lib","Liberica",""))))</f>
        <v>Arabica</v>
      </c>
      <c r="O963" t="str">
        <f t="shared" si="15"/>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f>L964*E964</f>
        <v>8.9499999999999993</v>
      </c>
      <c r="N964" t="str">
        <f>IF(I964="Rob","Robusta",IF(I964="Exc","Excelsa",IF(I964="Ara","Arabica",IF(I964="Lib","Liberica",""))))</f>
        <v>Robusta</v>
      </c>
      <c r="O964" t="str">
        <f t="shared" si="15"/>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f>L965*E965</f>
        <v>23.88</v>
      </c>
      <c r="N965" t="str">
        <f>IF(I965="Rob","Robusta",IF(I965="Exc","Excelsa",IF(I965="Ara","Arabica",IF(I965="Lib","Liberica",""))))</f>
        <v>Robusta</v>
      </c>
      <c r="O965" t="str">
        <f t="shared" si="15"/>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f>L966*E966</f>
        <v>22.274999999999999</v>
      </c>
      <c r="N966" t="str">
        <f>IF(I966="Rob","Robusta",IF(I966="Exc","Excelsa",IF(I966="Ara","Arabica",IF(I966="Lib","Liberica",""))))</f>
        <v>Excelsa</v>
      </c>
      <c r="O966" t="str">
        <f t="shared" si="15"/>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f>L967*E967</f>
        <v>29.849999999999998</v>
      </c>
      <c r="N967" t="str">
        <f>IF(I967="Rob","Robusta",IF(I967="Exc","Excelsa",IF(I967="Ara","Arabica",IF(I967="Lib","Liberica",""))))</f>
        <v>Robusta</v>
      </c>
      <c r="O967" t="str">
        <f t="shared" si="15"/>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f>L968*E968</f>
        <v>53.46</v>
      </c>
      <c r="N968" t="str">
        <f>IF(I968="Rob","Robusta",IF(I968="Exc","Excelsa",IF(I968="Ara","Arabica",IF(I968="Lib","Liberica",""))))</f>
        <v>Excelsa</v>
      </c>
      <c r="O968" t="str">
        <f t="shared" si="15"/>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f>L969*E969</f>
        <v>2.6849999999999996</v>
      </c>
      <c r="N969" t="str">
        <f>IF(I969="Rob","Robusta",IF(I969="Exc","Excelsa",IF(I969="Ara","Arabica",IF(I969="Lib","Liberica",""))))</f>
        <v>Robusta</v>
      </c>
      <c r="O969" t="str">
        <f t="shared" si="15"/>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f>L970*E970</f>
        <v>5.97</v>
      </c>
      <c r="N970" t="str">
        <f>IF(I970="Rob","Robusta",IF(I970="Exc","Excelsa",IF(I970="Ara","Arabica",IF(I970="Lib","Liberica",""))))</f>
        <v>Robusta</v>
      </c>
      <c r="O970" t="str">
        <f t="shared" si="15"/>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f>L971*E971</f>
        <v>12.95</v>
      </c>
      <c r="N971" t="str">
        <f>IF(I971="Rob","Robusta",IF(I971="Exc","Excelsa",IF(I971="Ara","Arabica",IF(I971="Lib","Liberica",""))))</f>
        <v>Liberica</v>
      </c>
      <c r="O971" t="str">
        <f t="shared" si="15"/>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f>L972*E972</f>
        <v>8.25</v>
      </c>
      <c r="N972" t="str">
        <f>IF(I972="Rob","Robusta",IF(I972="Exc","Excelsa",IF(I972="Ara","Arabica",IF(I972="Lib","Liberica",""))))</f>
        <v>Excelsa</v>
      </c>
      <c r="O972" t="str">
        <f t="shared" si="15"/>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f>L973*E973</f>
        <v>148.92499999999998</v>
      </c>
      <c r="N973" t="str">
        <f>IF(I973="Rob","Robusta",IF(I973="Exc","Excelsa",IF(I973="Ara","Arabica",IF(I973="Lib","Liberica",""))))</f>
        <v>Arabica</v>
      </c>
      <c r="O973" t="str">
        <f t="shared" si="15"/>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f>L974*E974</f>
        <v>89.35499999999999</v>
      </c>
      <c r="N974" t="str">
        <f>IF(I974="Rob","Robusta",IF(I974="Exc","Excelsa",IF(I974="Ara","Arabica",IF(I974="Lib","Liberica",""))))</f>
        <v>Arabica</v>
      </c>
      <c r="O974" t="str">
        <f t="shared" si="15"/>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f>L975*E975</f>
        <v>87.300000000000011</v>
      </c>
      <c r="N975" t="str">
        <f>IF(I975="Rob","Robusta",IF(I975="Exc","Excelsa",IF(I975="Ara","Arabica",IF(I975="Lib","Liberica",""))))</f>
        <v>Liberica</v>
      </c>
      <c r="O975" t="str">
        <f t="shared" si="15"/>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f>L976*E976</f>
        <v>5.3699999999999992</v>
      </c>
      <c r="N976" t="str">
        <f>IF(I976="Rob","Robusta",IF(I976="Exc","Excelsa",IF(I976="Ara","Arabica",IF(I976="Lib","Liberica",""))))</f>
        <v>Robusta</v>
      </c>
      <c r="O976" t="str">
        <f t="shared" si="15"/>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f>L977*E977</f>
        <v>8.9550000000000001</v>
      </c>
      <c r="N977" t="str">
        <f>IF(I977="Rob","Robusta",IF(I977="Exc","Excelsa",IF(I977="Ara","Arabica",IF(I977="Lib","Liberica",""))))</f>
        <v>Arabica</v>
      </c>
      <c r="O977" t="str">
        <f t="shared" si="15"/>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f>L978*E978</f>
        <v>137.42499999999998</v>
      </c>
      <c r="N978" t="str">
        <f>IF(I978="Rob","Robusta",IF(I978="Exc","Excelsa",IF(I978="Ara","Arabica",IF(I978="Lib","Liberica",""))))</f>
        <v>Robusta</v>
      </c>
      <c r="O978" t="str">
        <f t="shared" si="15"/>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f>L979*E979</f>
        <v>59.75</v>
      </c>
      <c r="N979" t="str">
        <f>IF(I979="Rob","Robusta",IF(I979="Exc","Excelsa",IF(I979="Ara","Arabica",IF(I979="Lib","Liberica",""))))</f>
        <v>Robusta</v>
      </c>
      <c r="O979" t="str">
        <f t="shared" si="15"/>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f>L980*E980</f>
        <v>23.31</v>
      </c>
      <c r="N980" t="str">
        <f>IF(I980="Rob","Robusta",IF(I980="Exc","Excelsa",IF(I980="Ara","Arabica",IF(I980="Lib","Liberica",""))))</f>
        <v>Arabica</v>
      </c>
      <c r="O980" t="str">
        <f t="shared" si="15"/>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f>L981*E981</f>
        <v>10.739999999999998</v>
      </c>
      <c r="N981" t="str">
        <f>IF(I981="Rob","Robusta",IF(I981="Exc","Excelsa",IF(I981="Ara","Arabica",IF(I981="Lib","Liberica",""))))</f>
        <v>Robusta</v>
      </c>
      <c r="O981" t="str">
        <f t="shared" si="15"/>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f>L982*E982</f>
        <v>167.67000000000002</v>
      </c>
      <c r="N982" t="str">
        <f>IF(I982="Rob","Robusta",IF(I982="Exc","Excelsa",IF(I982="Ara","Arabica",IF(I982="Lib","Liberica",""))))</f>
        <v>Excelsa</v>
      </c>
      <c r="O982" t="str">
        <f t="shared" si="15"/>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f>L983*E983</f>
        <v>21.87</v>
      </c>
      <c r="N983" t="str">
        <f>IF(I983="Rob","Robusta",IF(I983="Exc","Excelsa",IF(I983="Ara","Arabica",IF(I983="Lib","Liberica",""))))</f>
        <v>Excelsa</v>
      </c>
      <c r="O983" t="str">
        <f t="shared" si="15"/>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f>L984*E984</f>
        <v>23.9</v>
      </c>
      <c r="N984" t="str">
        <f>IF(I984="Rob","Robusta",IF(I984="Exc","Excelsa",IF(I984="Ara","Arabica",IF(I984="Lib","Liberica",""))))</f>
        <v>Robusta</v>
      </c>
      <c r="O984" t="str">
        <f t="shared" si="15"/>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f>L985*E985</f>
        <v>6.75</v>
      </c>
      <c r="N985" t="str">
        <f>IF(I985="Rob","Robusta",IF(I985="Exc","Excelsa",IF(I985="Ara","Arabica",IF(I985="Lib","Liberica",""))))</f>
        <v>Arabica</v>
      </c>
      <c r="O985" t="str">
        <f t="shared" si="15"/>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f>L986*E986</f>
        <v>31.624999999999996</v>
      </c>
      <c r="N986" t="str">
        <f>IF(I986="Rob","Robusta",IF(I986="Exc","Excelsa",IF(I986="Ara","Arabica",IF(I986="Lib","Liberica",""))))</f>
        <v>Excelsa</v>
      </c>
      <c r="O986" t="str">
        <f t="shared" si="15"/>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f>L987*E987</f>
        <v>47.8</v>
      </c>
      <c r="N987" t="str">
        <f>IF(I987="Rob","Robusta",IF(I987="Exc","Excelsa",IF(I987="Ara","Arabica",IF(I987="Lib","Liberica",""))))</f>
        <v>Robusta</v>
      </c>
      <c r="O987" t="str">
        <f t="shared" si="15"/>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f>L988*E988</f>
        <v>33.464999999999996</v>
      </c>
      <c r="N988" t="str">
        <f>IF(I988="Rob","Robusta",IF(I988="Exc","Excelsa",IF(I988="Ara","Arabica",IF(I988="Lib","Liberica",""))))</f>
        <v>Liberica</v>
      </c>
      <c r="O988" t="str">
        <f t="shared" si="15"/>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f>L989*E989</f>
        <v>29.849999999999998</v>
      </c>
      <c r="N989" t="str">
        <f>IF(I989="Rob","Robusta",IF(I989="Exc","Excelsa",IF(I989="Ara","Arabica",IF(I989="Lib","Liberica",""))))</f>
        <v>Arabica</v>
      </c>
      <c r="O989" t="str">
        <f t="shared" si="15"/>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f>L990*E990</f>
        <v>29.849999999999998</v>
      </c>
      <c r="N990" t="str">
        <f>IF(I990="Rob","Robusta",IF(I990="Exc","Excelsa",IF(I990="Ara","Arabica",IF(I990="Lib","Liberica",""))))</f>
        <v>Robusta</v>
      </c>
      <c r="O990" t="str">
        <f t="shared" si="15"/>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f>L991*E991</f>
        <v>155.24999999999997</v>
      </c>
      <c r="N991" t="str">
        <f>IF(I991="Rob","Robusta",IF(I991="Exc","Excelsa",IF(I991="Ara","Arabica",IF(I991="Lib","Liberica",""))))</f>
        <v>Arabica</v>
      </c>
      <c r="O991" t="str">
        <f t="shared" si="15"/>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f>L992*E992</f>
        <v>18.225000000000001</v>
      </c>
      <c r="N992" t="str">
        <f>IF(I992="Rob","Robusta",IF(I992="Exc","Excelsa",IF(I992="Ara","Arabica",IF(I992="Lib","Liberica",""))))</f>
        <v>Excelsa</v>
      </c>
      <c r="O992" t="str">
        <f t="shared" si="15"/>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f>L993*E993</f>
        <v>15.54</v>
      </c>
      <c r="N993" t="str">
        <f>IF(I993="Rob","Robusta",IF(I993="Exc","Excelsa",IF(I993="Ara","Arabica",IF(I993="Lib","Liberica",""))))</f>
        <v>Liberica</v>
      </c>
      <c r="O993" t="str">
        <f t="shared" si="15"/>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f>L994*E994</f>
        <v>109.36499999999999</v>
      </c>
      <c r="N994" t="str">
        <f>IF(I994="Rob","Robusta",IF(I994="Exc","Excelsa",IF(I994="Ara","Arabica",IF(I994="Lib","Liberica",""))))</f>
        <v>Liberica</v>
      </c>
      <c r="O994" t="str">
        <f t="shared" si="15"/>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f>L995*E995</f>
        <v>77.699999999999989</v>
      </c>
      <c r="N995" t="str">
        <f>IF(I995="Rob","Robusta",IF(I995="Exc","Excelsa",IF(I995="Ara","Arabica",IF(I995="Lib","Liberica",""))))</f>
        <v>Arabica</v>
      </c>
      <c r="O995" t="str">
        <f t="shared" si="15"/>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f>L996*E996</f>
        <v>8.9550000000000001</v>
      </c>
      <c r="N996" t="str">
        <f>IF(I996="Rob","Robusta",IF(I996="Exc","Excelsa",IF(I996="Ara","Arabica",IF(I996="Lib","Liberica",""))))</f>
        <v>Arabica</v>
      </c>
      <c r="O996" t="str">
        <f t="shared" si="15"/>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f>L997*E997</f>
        <v>27.484999999999996</v>
      </c>
      <c r="N997" t="str">
        <f>IF(I997="Rob","Robusta",IF(I997="Exc","Excelsa",IF(I997="Ara","Arabica",IF(I997="Lib","Liberica",""))))</f>
        <v>Robusta</v>
      </c>
      <c r="O997" t="str">
        <f t="shared" si="15"/>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f>L998*E998</f>
        <v>29.849999999999998</v>
      </c>
      <c r="N998" t="str">
        <f>IF(I998="Rob","Robusta",IF(I998="Exc","Excelsa",IF(I998="Ara","Arabica",IF(I998="Lib","Liberica",""))))</f>
        <v>Robusta</v>
      </c>
      <c r="O998" t="str">
        <f t="shared" si="15"/>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f>L999*E999</f>
        <v>27</v>
      </c>
      <c r="N999" t="str">
        <f>IF(I999="Rob","Robusta",IF(I999="Exc","Excelsa",IF(I999="Ara","Arabica",IF(I999="Lib","Liberica",""))))</f>
        <v>Arabica</v>
      </c>
      <c r="O999" t="str">
        <f t="shared" si="15"/>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f>L1000*E1000</f>
        <v>9.9499999999999993</v>
      </c>
      <c r="N1000" t="str">
        <f>IF(I1000="Rob","Robusta",IF(I1000="Exc","Excelsa",IF(I1000="Ara","Arabica",IF(I1000="Lib","Liberica",""))))</f>
        <v>Arabica</v>
      </c>
      <c r="O1000" t="str">
        <f t="shared" si="15"/>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f>L1001*E1001</f>
        <v>12.375</v>
      </c>
      <c r="N1001" t="str">
        <f>IF(I1001="Rob","Robusta",IF(I1001="Exc","Excelsa",IF(I1001="Ara","Arabica",IF(I1001="Lib","Liberica",""))))</f>
        <v>Excelsa</v>
      </c>
      <c r="O1001" t="str">
        <f t="shared" si="15"/>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G970" zoomScale="78" workbookViewId="0">
      <selection activeCell="I1" sqref="I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bhumika singhal</dc:creator>
  <cp:keywords/>
  <dc:description/>
  <cp:lastModifiedBy>Bhumika Singhal</cp:lastModifiedBy>
  <cp:revision/>
  <dcterms:created xsi:type="dcterms:W3CDTF">2022-11-26T09:51:45Z</dcterms:created>
  <dcterms:modified xsi:type="dcterms:W3CDTF">2026-05-05T10:40:37Z</dcterms:modified>
  <cp:category/>
  <cp:contentStatus/>
</cp:coreProperties>
</file>